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dirmahmud/Documents/2. UKPBJ BIRO PBJ/15. KABAG Pengelolaan PBJ/TAHUN ANGGARAN 2024/REKAP DATA PAKET OPD/TAHUN 2024/2. Laporan Paket Pokja Pemilihan 2024/"/>
    </mc:Choice>
  </mc:AlternateContent>
  <xr:revisionPtr revIDLastSave="0" documentId="13_ncr:1_{BBFC518B-E7F3-1343-B461-E25C9A8301D2}" xr6:coauthVersionLast="47" xr6:coauthVersionMax="47" xr10:uidLastSave="{00000000-0000-0000-0000-000000000000}"/>
  <bookViews>
    <workbookView xWindow="0" yWindow="0" windowWidth="28800" windowHeight="18000" xr2:uid="{1CF7234F-E78E-4A41-ABBC-038BACA46B4F}"/>
  </bookViews>
  <sheets>
    <sheet name="REKA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" i="3" l="1"/>
  <c r="N15" i="3"/>
  <c r="N13" i="3"/>
  <c r="U13" i="3" s="1"/>
  <c r="V13" i="3" s="1"/>
  <c r="N11" i="3"/>
  <c r="U11" i="3" s="1"/>
  <c r="V11" i="3" s="1"/>
  <c r="N10" i="3"/>
  <c r="U10" i="3" s="1"/>
  <c r="V10" i="3" s="1"/>
  <c r="N9" i="3"/>
  <c r="U9" i="3" s="1"/>
  <c r="V9" i="3" s="1"/>
  <c r="N8" i="3"/>
  <c r="U8" i="3" s="1"/>
  <c r="V8" i="3" s="1"/>
  <c r="N7" i="3"/>
  <c r="N6" i="3"/>
  <c r="N64" i="3" s="1"/>
  <c r="H64" i="3"/>
  <c r="G64" i="3"/>
  <c r="U29" i="3"/>
  <c r="V29" i="3" s="1"/>
  <c r="U28" i="3"/>
  <c r="V28" i="3" s="1"/>
  <c r="U27" i="3"/>
  <c r="V27" i="3" s="1"/>
  <c r="U26" i="3"/>
  <c r="V26" i="3" s="1"/>
  <c r="U25" i="3"/>
  <c r="V25" i="3" s="1"/>
  <c r="U24" i="3"/>
  <c r="V24" i="3" s="1"/>
  <c r="U23" i="3"/>
  <c r="V23" i="3" s="1"/>
  <c r="U22" i="3"/>
  <c r="V22" i="3" s="1"/>
  <c r="U21" i="3"/>
  <c r="V21" i="3" s="1"/>
  <c r="U20" i="3"/>
  <c r="V20" i="3" s="1"/>
  <c r="U19" i="3"/>
  <c r="V19" i="3" s="1"/>
  <c r="U18" i="3"/>
  <c r="V18" i="3" s="1"/>
  <c r="U17" i="3"/>
  <c r="V17" i="3" s="1"/>
  <c r="U15" i="3"/>
  <c r="V15" i="3" s="1"/>
  <c r="U14" i="3"/>
  <c r="V14" i="3" s="1"/>
  <c r="U12" i="3"/>
  <c r="V12" i="3" s="1"/>
  <c r="U7" i="3"/>
  <c r="V7" i="3" s="1"/>
  <c r="U6" i="3"/>
  <c r="V6" i="3" s="1"/>
  <c r="U62" i="3"/>
  <c r="V62" i="3" s="1"/>
  <c r="U61" i="3" l="1"/>
  <c r="V61" i="3" s="1"/>
  <c r="U60" i="3" l="1"/>
  <c r="V60" i="3" s="1"/>
  <c r="U59" i="3"/>
  <c r="V59" i="3" s="1"/>
  <c r="U58" i="3"/>
  <c r="V58" i="3" s="1"/>
  <c r="U57" i="3"/>
  <c r="V57" i="3" s="1"/>
  <c r="U56" i="3"/>
  <c r="V56" i="3" s="1"/>
  <c r="U51" i="3" l="1"/>
  <c r="V51" i="3" s="1"/>
  <c r="U55" i="3"/>
  <c r="V55" i="3" s="1"/>
  <c r="U54" i="3"/>
  <c r="V54" i="3" s="1"/>
  <c r="U53" i="3"/>
  <c r="V53" i="3" s="1"/>
  <c r="U52" i="3"/>
  <c r="V52" i="3" s="1"/>
  <c r="U50" i="3" l="1"/>
  <c r="V50" i="3" s="1"/>
  <c r="U49" i="3"/>
  <c r="V49" i="3" s="1"/>
  <c r="U48" i="3"/>
  <c r="V48" i="3" s="1"/>
  <c r="U47" i="3" l="1"/>
  <c r="V47" i="3" s="1"/>
  <c r="U46" i="3"/>
  <c r="V46" i="3" s="1"/>
  <c r="U45" i="3"/>
  <c r="V45" i="3" s="1"/>
  <c r="U44" i="3" l="1"/>
  <c r="V44" i="3" s="1"/>
  <c r="U43" i="3"/>
  <c r="V43" i="3" s="1"/>
  <c r="U42" i="3"/>
  <c r="V42" i="3" s="1"/>
  <c r="U41" i="3"/>
  <c r="V41" i="3" s="1"/>
  <c r="U40" i="3" l="1"/>
  <c r="V40" i="3" s="1"/>
  <c r="U39" i="3"/>
  <c r="V39" i="3" s="1"/>
  <c r="U38" i="3"/>
  <c r="V38" i="3" s="1"/>
  <c r="U37" i="3"/>
  <c r="V37" i="3" s="1"/>
  <c r="U36" i="3"/>
  <c r="V36" i="3" s="1"/>
  <c r="U35" i="3"/>
  <c r="V35" i="3" s="1"/>
  <c r="U34" i="3"/>
  <c r="V34" i="3" s="1"/>
  <c r="U33" i="3"/>
  <c r="V33" i="3" s="1"/>
  <c r="U32" i="3"/>
  <c r="V32" i="3" s="1"/>
  <c r="U30" i="3"/>
  <c r="V30" i="3" s="1"/>
  <c r="U31" i="3"/>
  <c r="V31" i="3" s="1"/>
  <c r="U64" i="3" l="1"/>
</calcChain>
</file>

<file path=xl/sharedStrings.xml><?xml version="1.0" encoding="utf-8"?>
<sst xmlns="http://schemas.openxmlformats.org/spreadsheetml/2006/main" count="607" uniqueCount="437">
  <si>
    <t>NO</t>
  </si>
  <si>
    <t>OPD</t>
  </si>
  <si>
    <t>NAMA PAKET</t>
  </si>
  <si>
    <t>METODE PENGADAAN</t>
  </si>
  <si>
    <t>NILAI PAGU  (Rp)</t>
  </si>
  <si>
    <t>NILAI HPS      (Rp)</t>
  </si>
  <si>
    <t>PEMENANG</t>
  </si>
  <si>
    <t>NILAI PENAWARAN                  (Rp)</t>
  </si>
  <si>
    <t>NILAI NEGOSIASI/ NILAI KONTRAK     (Rp)</t>
  </si>
  <si>
    <t>EVISIENSI NILAI PAGU - KONTRAK</t>
  </si>
  <si>
    <t>PERSENTASE</t>
  </si>
  <si>
    <t>Jasa Konsultan Pengawas Kegiatan Kontraktual (Penugasan) Tematik 05</t>
  </si>
  <si>
    <t>PT.INDO PRATAMA SARI</t>
  </si>
  <si>
    <t>Seleksi - Prakualifikasi Dua File - Kualitas dan Biaya</t>
  </si>
  <si>
    <t>Dinas Pekerjaan Umum Dan Tata Ruang Provinsi Maluku Utara</t>
  </si>
  <si>
    <t>Peningkatan Jaringan Irigasi D.I Gane Timur</t>
  </si>
  <si>
    <t>Tender - Pascakualifikasi Satu File - Harga Terendah Sistem Gugur</t>
  </si>
  <si>
    <t>JUMLAH PENDAFTAR</t>
  </si>
  <si>
    <t>CV. NUSANTARA INDAH PRATAMA</t>
  </si>
  <si>
    <t>JUMLAH PEMASUKAN PNW</t>
  </si>
  <si>
    <t>Pekerjaan Pembangunan Konstruksi Bangunan Pendukung BBI</t>
  </si>
  <si>
    <t>MAFTUTU INDAH</t>
  </si>
  <si>
    <t>NPWP PEMENANG</t>
  </si>
  <si>
    <t>ALAMAT PEMENANG</t>
  </si>
  <si>
    <t>02.040.274.9-942.000</t>
  </si>
  <si>
    <t>JENIS PENGADAAN</t>
  </si>
  <si>
    <t>Pekerjaan Konstruksi</t>
  </si>
  <si>
    <t>Dinas Pertanian Provinsi Maluku Utara</t>
  </si>
  <si>
    <t>Jasa Konsultansi Badan Usaha Konstruksi</t>
  </si>
  <si>
    <t>NAMA PPK</t>
  </si>
  <si>
    <t>NAMA DIREKTUR</t>
  </si>
  <si>
    <t>No. TLP/EMAIL PEMENANG</t>
  </si>
  <si>
    <t>Ruas Kao - Toliwang - Halmahera Utara (Kab.)</t>
  </si>
  <si>
    <t>KEL MAFTUTU KEC. TIDORE TIMUR - Tidore Kepulauan (Kota) - Maluku Utara</t>
  </si>
  <si>
    <t>Desa Sumber Makmur Kec. Gane Timur - Halmahera Selatan (Kab.)</t>
  </si>
  <si>
    <t>Desa Akelamo - Tidore Kepulauan (Kota)</t>
  </si>
  <si>
    <t>Pekerjaan Sarana Pengairan UPTD BBI</t>
  </si>
  <si>
    <t>CV. ASLI MALUKU</t>
  </si>
  <si>
    <t>01.416.805.8-942.000</t>
  </si>
  <si>
    <t>Pekerjaan Konstruksi Lantai Jemur UPTD BBI</t>
  </si>
  <si>
    <t>KENCANA MANDIRI</t>
  </si>
  <si>
    <t>41.214.664.9-943.000</t>
  </si>
  <si>
    <t>Pekerjaan Rehabilitasi Bangunan UPTD BBI</t>
  </si>
  <si>
    <t>CV.DANILO</t>
  </si>
  <si>
    <t>72.724.582.1-942.000</t>
  </si>
  <si>
    <t>Pekerjaan Sarana Instalasi Air di Lahan UPTD BBI</t>
  </si>
  <si>
    <t>CV. MITRA UTAMA</t>
  </si>
  <si>
    <t>03.138.133.8-943.000</t>
  </si>
  <si>
    <t>LOKASI PEKERJAAN</t>
  </si>
  <si>
    <t>01.982.412.7-942.000</t>
  </si>
  <si>
    <t>03.231.261.3-805.000</t>
  </si>
  <si>
    <t>Pekerjaan Rehabilitasi screen House</t>
  </si>
  <si>
    <t>CV. KETAPANG</t>
  </si>
  <si>
    <t>02.401.925.9-942.000</t>
  </si>
  <si>
    <t>Muhammad Rifal, SE</t>
  </si>
  <si>
    <t>Hamid Barham</t>
  </si>
  <si>
    <t>Nurul Aulia N</t>
  </si>
  <si>
    <t>Aisyah Albaar</t>
  </si>
  <si>
    <t>Malik Talib</t>
  </si>
  <si>
    <t>Jefri Tjoajoknoto</t>
  </si>
  <si>
    <t>Abdul Aziz</t>
  </si>
  <si>
    <t>Wahab Do Iji</t>
  </si>
  <si>
    <t>Muhammad Saleh, ST</t>
  </si>
  <si>
    <t>Sufran Abd Rahman, ST</t>
  </si>
  <si>
    <t>Joni Sondak</t>
  </si>
  <si>
    <t>Pembangunan Prasarana UPH Sagu Kab. Halmahera Barat</t>
  </si>
  <si>
    <t>CV. RADJAH RIZKI</t>
  </si>
  <si>
    <t>Halmahera Barat (Kab.)</t>
  </si>
  <si>
    <t xml:space="preserve">Pembangunan Prasarana UPH Kelapa Kab. Halmahera Barat </t>
  </si>
  <si>
    <t>CV. GAZA MANDIRI</t>
  </si>
  <si>
    <t>cvgazamandiri@gmail.com</t>
  </si>
  <si>
    <t>NURYADIN JUBA, ST</t>
  </si>
  <si>
    <t>Mardiah Usman</t>
  </si>
  <si>
    <t>80.198.797.5-942.000</t>
  </si>
  <si>
    <t>JL. TERATAI RT. 007/RW. 002 KEL. TANAH TINGGI KOTA TERNATE</t>
  </si>
  <si>
    <t>93.377.200.6-942.000</t>
  </si>
  <si>
    <t>Kel. Ubo-Ubo Kota Ternate Selatan</t>
  </si>
  <si>
    <t>radjahriski1984@gmail.com</t>
  </si>
  <si>
    <t>MARILTA SARIFUDIN DAIKULLE</t>
  </si>
  <si>
    <t>Jalan Ake Tubo Rt.06 Rw.02 Kelurahan Tubo</t>
  </si>
  <si>
    <t>082290087207</t>
  </si>
  <si>
    <t>42.974.188.7-942.000</t>
  </si>
  <si>
    <t>Jufri Abuhair</t>
  </si>
  <si>
    <t>Parid Sialana</t>
  </si>
  <si>
    <t>CV JUMAH BARAKAH</t>
  </si>
  <si>
    <t>Bantuan Benih Padi</t>
  </si>
  <si>
    <t>Penunjukan Langsung</t>
  </si>
  <si>
    <t>Pengadaan Barang</t>
  </si>
  <si>
    <t>Subaim - Halmahera Timur (Kab.)</t>
  </si>
  <si>
    <t>Sesuai SK Penetapan CPCL - Halmahera Barat (Kab.)</t>
  </si>
  <si>
    <t>ir.syarifuddinkulawu@yahoo.co.id</t>
  </si>
  <si>
    <t>nip_joni@yahoo.co.id / 0921-3110880</t>
  </si>
  <si>
    <t>maftutuindah@gmail.com</t>
  </si>
  <si>
    <t>aishaa.albaar@gmail.com</t>
  </si>
  <si>
    <t>cvkencanamandiri88@gmail.com/82190223860</t>
  </si>
  <si>
    <t>cv.danilo2015@gmail.com</t>
  </si>
  <si>
    <t>cvmitrautama.mu2@gmail.com</t>
  </si>
  <si>
    <t>cvketapangg@gmail.com/ 	085395729116</t>
  </si>
  <si>
    <t>s</t>
  </si>
  <si>
    <t>No. KONTRAK</t>
  </si>
  <si>
    <t>22.C/KONTRAK.ET/BUN-TAPI/VIII/2024 Tgl 14 Agustus 2024</t>
  </si>
  <si>
    <t>23.C/KONTRAK.ET/BUN-TAPI/VIII/2024 Tgl 23 Agustus 2024</t>
  </si>
  <si>
    <t>05.1/SP/TAPI-TANPANG/DISTAN-MU/VIII/2024  tgl 16 Agustus 2024</t>
  </si>
  <si>
    <t xml:space="preserve">600.610/KONTRAK/PPK.SDA.II/DPUPR-MU/APBD-DAK/Fsk.01/2024   </t>
  </si>
  <si>
    <t>06/SPK-DISTAN/DAK/VI/2024   Tgl.17 Juli 2024</t>
  </si>
  <si>
    <t>10/SPK-DISTAN/DAK/VI/2024   tgl.17 Juli 2024</t>
  </si>
  <si>
    <t>11/SPK-DISTAN/DAK/VI/2024   17 Juli 2024</t>
  </si>
  <si>
    <t>09/SPK-DISTAN/DAK/VI/2024   tgl.17 Juli 2024</t>
  </si>
  <si>
    <t>07/SPK-DISTAN/DAK/VI/2024   tgl.17 Juli 2024</t>
  </si>
  <si>
    <t>08/SPK-DISTAN/DAK/VI/2024   tgl.17 Juli 2024</t>
  </si>
  <si>
    <t>600.620/SP/DPUPR-MU/PPK-III/KONS.02/APBD  Tgl.25 Juli 2024</t>
  </si>
  <si>
    <t>POKJA</t>
  </si>
  <si>
    <t>POKJA 1</t>
  </si>
  <si>
    <t>Dinas Pekerjaan Umum dan Penataan Ruang</t>
  </si>
  <si>
    <t>Jasa Konsultan Pengawas Kegiatan Kontraktual (Penugasan) Ruas Saketa - Dehepodo (Kode RUP : 51771488)</t>
  </si>
  <si>
    <t>Rumah Sakit Umum Daerah Sofifi</t>
  </si>
  <si>
    <t>Pembagunan Gedung Instalasi Bedah Sentral (Kode RUP : 51627299)</t>
  </si>
  <si>
    <t>Penanganan Long segment (Pemeliharaan Rutin, Pemeliharaan Berkala, Peningkatan, Rekonstruksi) Ruas Kao – Toliwang (Kode RUP : 51950149)</t>
  </si>
  <si>
    <t>Penanganan Long Segment (Pemeliharaan Rutin, Pemeliharaan Berkala, Peningkatan/Rekonstruksi) Jalan Ruas Saketa - Dehepodo (Kode RUP : 51950103)</t>
  </si>
  <si>
    <t>Peningkatan Jaringan Irigasi D.I Aha (Kode RUP : 51950120)</t>
  </si>
  <si>
    <t>Seleksi</t>
  </si>
  <si>
    <t>Tender</t>
  </si>
  <si>
    <t>CV. PETRAJAYA ABADI</t>
  </si>
  <si>
    <t>CV. DELTA</t>
  </si>
  <si>
    <t>CV. AINUN</t>
  </si>
  <si>
    <t>CV. FAYOLA ABADI</t>
  </si>
  <si>
    <t>001.D.1/KONTRAK/RSU-SOFIFI/MU/2024</t>
  </si>
  <si>
    <t>600.610/KONTRAK/PPK-SDA.I/DPUPR-MU/APBD-DAK/FSK.01/2024</t>
  </si>
  <si>
    <t>RSUD Dr. H. Chasan Boesoerie Ternate</t>
  </si>
  <si>
    <t>POKJA 2</t>
  </si>
  <si>
    <t>Pengadaan Jasa Konsultansi Perencanaan Pembangunan Ruang CT SCAN (Kode RUP : 51541593)</t>
  </si>
  <si>
    <t>Jasa Konsultansi Pengawasan Pembangunan Gedung Pelayanan Jantung Terpadu Tahap2 (Kode RUP : 52134580)</t>
  </si>
  <si>
    <t>Jasa Konsultan Pengawas Kegiatan Kontraktual (Penugasan) Tematik 03 (Kode RUP : 51771492)</t>
  </si>
  <si>
    <t>Penanganan Long segment (Pemeliharaan Rutin, Pemeliharaan Berkala, Peningkatan, Rekonstruksi) Ruas Dofa – Falabisahaya (Kode RUP : 51950151)</t>
  </si>
  <si>
    <t>PT. TRIAS ERISKO KONSULTAN</t>
  </si>
  <si>
    <t xml:space="preserve">	CV. DARMA CITRA UTAMA</t>
  </si>
  <si>
    <t>PT.TEKNIK EKSAKTA</t>
  </si>
  <si>
    <t>PT. SINAR AGAPE INDAH</t>
  </si>
  <si>
    <t xml:space="preserve">Nomor : 027/01.02.10/SP-PPK/APBD-RSUD/2024                                                     Tanggal 10 Juli 2024            </t>
  </si>
  <si>
    <t xml:space="preserve">Nomor : 027/02.02.18/SP-PPK/APBD-RSUD/2024                                                     Tanggal 28 Agustus 2024            </t>
  </si>
  <si>
    <t xml:space="preserve">Nomor : 027/02.02.17/SP-PPK/APBD-RSUD/2024                                                     Tanggal 28 Agustus 2024 </t>
  </si>
  <si>
    <t>Nomor : 600.620/DPUPR/APBD/PPK.I/BM/PSK.14111361/2024                                                               Tanggal 23 Juli 2024</t>
  </si>
  <si>
    <t>POKJA 3</t>
  </si>
  <si>
    <t>Dinas Kelautan dan Perikanan</t>
  </si>
  <si>
    <t>Jasa Konsultan Pengawas Kegiatan Kontraktual (Penugasan) Ruas Payahe - Dehepodo</t>
  </si>
  <si>
    <t>Pembangunan Jalan dan Drainase PP Manitinting</t>
  </si>
  <si>
    <t>Pembangunan Turap Dermaga PP Tuada</t>
  </si>
  <si>
    <t>Pembangunan Lanjutan Dermaga PP Tuada</t>
  </si>
  <si>
    <t>Pembangunan Lanjutan Dermaga PPP Bacan</t>
  </si>
  <si>
    <t>Rehabilitasi saluran air pasok dan/atau buang UPTD Jailolo</t>
  </si>
  <si>
    <t>Rehabilitasi kolam atau bak pemijahan/induk/pakan alami/tandon/bak pendederan UPTD Jailolo</t>
  </si>
  <si>
    <t>Pembangunan Fasilitas Air (Tawar) Bersih PP Manitinting</t>
  </si>
  <si>
    <t>Rehabilitasi kolam atau bak pemijahan/induk/pakan alami/tandon/bak pendederan UPTD Bacan (Tender Ulang)</t>
  </si>
  <si>
    <t>Rehabilitasi Pabrik Es/Colstorage</t>
  </si>
  <si>
    <t>Rehabilitasi prasarana produksi unit pembenihan UPTD Jailolo</t>
  </si>
  <si>
    <t>CV. ARSO DALEM</t>
  </si>
  <si>
    <t>-</t>
  </si>
  <si>
    <t>CV. MENTARI BIRU</t>
  </si>
  <si>
    <t>CV. MAKUGAWENE</t>
  </si>
  <si>
    <t>CV. ALFIKRI KIERAHA KONSTRUKSI</t>
  </si>
  <si>
    <t>Cv permata bersama</t>
  </si>
  <si>
    <t>CV. BAHANA BESTARI</t>
  </si>
  <si>
    <t>CV. PESONA TIMUR</t>
  </si>
  <si>
    <t>CV. ZERO KARA</t>
  </si>
  <si>
    <t>ASSYIFAH BERAHI</t>
  </si>
  <si>
    <t>600.620/SP/DPUPR-MU/BM/PPK-BM.II/PNGWS-01/DAK/2024</t>
  </si>
  <si>
    <t>01/KONTRAK/PPK II/DKP-MU/DAK/VII/2024</t>
  </si>
  <si>
    <t>02/KONTRAK/PPK II/DKP-MU/DAK/VII/2024</t>
  </si>
  <si>
    <t>03/KONTRAK/PPK I/DKP-MU/DAK/VII/2024</t>
  </si>
  <si>
    <t>01/KONTRAK/APBD/DKP-MU/VII/2024</t>
  </si>
  <si>
    <t>01/KONTRAK/PPK I/DKP-MU/DAK/VII/2024</t>
  </si>
  <si>
    <t>04/KONTRAK/PPK I/DKP-MU/DAK/VII/2024</t>
  </si>
  <si>
    <t>02/KONTRAK/APBD/DKP-MU/VII/2024</t>
  </si>
  <si>
    <t>03/KONTRAK/PPK II/DKP-MU/DAK/VII/2024</t>
  </si>
  <si>
    <t>02/KONTRAK/PPK I/DKP-MU/DAK/VII/2024</t>
  </si>
  <si>
    <t>POKJA 4</t>
  </si>
  <si>
    <t>Rehabilitasi Jaringan Irigasi D.I Kobe</t>
  </si>
  <si>
    <t>Penanganan Long Segment (Pemeliharaan Rutin, Pemeliharaan Berkala, Peningkatan/ Rekonstruksi) Ruas Payahe - Dehepodo</t>
  </si>
  <si>
    <t>Review Design D.I. Talaga</t>
  </si>
  <si>
    <t>Jasa Konsultansi Perencanaan Pembangunan Ruang MRI</t>
  </si>
  <si>
    <t>POKJA 5</t>
  </si>
  <si>
    <t>CV. ADYAH KARYA</t>
  </si>
  <si>
    <t>CV.Pilar Nusantara Prima</t>
  </si>
  <si>
    <t>PT. TATA BUMI KONSULTAN</t>
  </si>
  <si>
    <t xml:space="preserve">CV. PESONA CIPTA ENGINEERING	</t>
  </si>
  <si>
    <t>600.610/KONTRAK/PPK-SDA.III/DPUPR-MU/APBD-DAK/FSK.01/2024 ( 24 Juli 2024)</t>
  </si>
  <si>
    <t>600.620/SP/DPUPR/APBD/PPK/IV/ BM/FSK.14088361/ 2024 ( 24 Juli 2024)</t>
  </si>
  <si>
    <t>600.610/KONTRAK/PPK-SDA.IV/DPUPR-MU/APBD-DAK/Rev.01/2024 ( 19  Juli 2024)</t>
  </si>
  <si>
    <t>027/01.02.09/SP-PPK/APBD-RSUD/2024 ( 9 Juli 2024)</t>
  </si>
  <si>
    <r>
      <t>JL. KUTACANE UTARA NO.17 PERM.BUKIT BARUGA.MAKASSAR</t>
    </r>
    <r>
      <rPr>
        <sz val="11"/>
        <color theme="1"/>
        <rFont val="Arial"/>
        <family val="2"/>
      </rPr>
      <t xml:space="preserve"> - Makassar (Kota) - Sulawesi Selatan</t>
    </r>
  </si>
  <si>
    <r>
      <t>Jl. Hasan Esa Kel. Takoma</t>
    </r>
    <r>
      <rPr>
        <sz val="11"/>
        <color theme="1"/>
        <rFont val="Arial"/>
        <family val="2"/>
      </rPr>
      <t xml:space="preserve"> - Ternate (Kota) - Maluku Utara</t>
    </r>
  </si>
  <si>
    <r>
      <t>Jl. Sultan Babullah Kel. Makasar Timur Kota Ternate Tengah</t>
    </r>
    <r>
      <rPr>
        <sz val="11"/>
        <color theme="1"/>
        <rFont val="Arial"/>
        <family val="2"/>
      </rPr>
      <t xml:space="preserve"> - Ternate (Kota) - Maluku Utara</t>
    </r>
  </si>
  <si>
    <r>
      <t>Desa Galala</t>
    </r>
    <r>
      <rPr>
        <sz val="11"/>
        <color theme="1"/>
        <rFont val="Arial"/>
        <family val="2"/>
      </rPr>
      <t xml:space="preserve"> - Halmahera Barat (Kab.) - Maluku Utara</t>
    </r>
  </si>
  <si>
    <r>
      <t>KEL. INDONESIANA KEC.TIDORE</t>
    </r>
    <r>
      <rPr>
        <sz val="11"/>
        <color theme="1"/>
        <rFont val="Arial"/>
        <family val="2"/>
      </rPr>
      <t xml:space="preserve"> - Tidore Kepulauan (Kota) - Maluku Utara</t>
    </r>
  </si>
  <si>
    <r>
      <t>Jl. Desa Gosoma Kecamatan Tobelo</t>
    </r>
    <r>
      <rPr>
        <sz val="11"/>
        <color theme="1"/>
        <rFont val="Arial"/>
        <family val="2"/>
      </rPr>
      <t xml:space="preserve"> - Halmahera Utara (Kab.) - Maluku Utara</t>
    </r>
  </si>
  <si>
    <r>
      <t>Jl. Patimura Rt 001 Rw 001 Kel. Gamtufkange, Kec Tidore</t>
    </r>
    <r>
      <rPr>
        <sz val="11"/>
        <color theme="1"/>
        <rFont val="Arial"/>
        <family val="2"/>
      </rPr>
      <t xml:space="preserve"> - Tidore Kepulauan (Kota) - Maluku Utara</t>
    </r>
  </si>
  <si>
    <t>POKJA 6</t>
  </si>
  <si>
    <t>Perencanaan Jembatan Ruas Keliling Pulau Makian  (Kode RUP : 51778902)</t>
  </si>
  <si>
    <t>Pembangunan Ruangan MRI (Kode RUP : 52121104)</t>
  </si>
  <si>
    <t>Jasa Konsultansi Manajemen Konstruksi Pembangunan (Kode RUP : 52132183 )</t>
  </si>
  <si>
    <t>Perencanaan Bangunan Pengaman Pantai Tadupi, Oba Tengah (Kode RUP : 51749182)</t>
  </si>
  <si>
    <t>Tender Cepat</t>
  </si>
  <si>
    <t>PT. TATAS SPECTRA</t>
  </si>
  <si>
    <t>CV. Cipta Barakati</t>
  </si>
  <si>
    <t>POKJA 7</t>
  </si>
  <si>
    <t>Sekretariat DPRD</t>
  </si>
  <si>
    <t>Badan Pengelola Perbatasan Daerah</t>
  </si>
  <si>
    <t>Perencanaan Pembangunan Jembatan Amasing Kali, Bacan</t>
  </si>
  <si>
    <t>Rehabilitasi/Pemeliharaan Ruang Auditorium, Meeting Zooom Dan Ruang Kerja Pimpinan DPRD</t>
  </si>
  <si>
    <t>Jasa Konsultansi Perencanaan Penataan Ruang-Jasa Perencanaan Wilayah</t>
  </si>
  <si>
    <t>CV. ARSIR LANGIT NUSANTARA</t>
  </si>
  <si>
    <t>PT.DELINEASI RUPABUMI KONSULTAN</t>
  </si>
  <si>
    <t>02/SP-KONTRAK-PPK/PEK-TEHAB-RUANG-DPR/SETWAN/X/2024, Tanggal 11 Oktober 2024</t>
  </si>
  <si>
    <t>POKJA 8</t>
  </si>
  <si>
    <t>Dinas Sosial</t>
  </si>
  <si>
    <t>Biro Kesejaheran Rakyat</t>
  </si>
  <si>
    <t>Penyusunan JAKSTRADA SPAM Maluku Utara (Kode RUP : 51748907)</t>
  </si>
  <si>
    <t>Penyusunan DED Jembatan Ruas Lapi - Darume (Kode RUP : 51778907)</t>
  </si>
  <si>
    <t>Rehabilitasi Bangunan Panti Rumah Sejahtera dan Tarakani Tobelo-Galela Halmahera Utara (Kode RUP : 51313845)</t>
  </si>
  <si>
    <t>Pembangunan Masjid Nurul Haq (Kode RUP : 51806155)</t>
  </si>
  <si>
    <t>PT. Munasa Kreasi Nusantara</t>
  </si>
  <si>
    <t>CV.FAISAYANG CONSTRUCTION</t>
  </si>
  <si>
    <t>CV. Toara Putra Mandiri</t>
  </si>
  <si>
    <t>600.690/SP/DPUPR-MU/CK/ABPD/KONS.SPAM/APBD/2024</t>
  </si>
  <si>
    <t>600.630/SP/DPUPR-MU/BM/PPK-III/KONS.03/APBD/2024</t>
  </si>
  <si>
    <t>SP/022/REHAB-PANTI/PPK/DINSOS/MU/IX/2024</t>
  </si>
  <si>
    <t>032.d1/KONTRAK-FISIK/KESRA-MU/APBD/2024</t>
  </si>
  <si>
    <t>POKJA 9</t>
  </si>
  <si>
    <t>Review Design Jalan &amp; Jembatan Ruas Maba - Sagea</t>
  </si>
  <si>
    <t>CV. PESONA CIPTA ENGINEERING</t>
  </si>
  <si>
    <t>600.620/SP/DPUPR-MU/PPK-BM/KONS/PKT.14065361/2024 - 30 September 2024</t>
  </si>
  <si>
    <t>M. Syaiful Arif Umasangadji, ST</t>
  </si>
  <si>
    <t>Muhammad Rizal, ST</t>
  </si>
  <si>
    <t>0921-3124398 </t>
  </si>
  <si>
    <t>02.546.652.5-942.000</t>
  </si>
  <si>
    <t>Perum Griya Ngade Lestari Blok A. No. 15, Kel. Ngade, Kec. Ternate Selatan, Kota Ternate</t>
  </si>
  <si>
    <t>Ruas Maba - Sagea - Halmahera Timur (Kab.)</t>
  </si>
  <si>
    <t>RSU Chasan Boesoeri</t>
  </si>
  <si>
    <t>Pembangunan Gedung Pelayanan Jantung Terpadu Tahap 2</t>
  </si>
  <si>
    <t>PT. ANUGERAH BINTAN PRATAMA</t>
  </si>
  <si>
    <t>027/01.02.21/SP-PPK/APBD-RSUD/2024 - 30 September 2024</t>
  </si>
  <si>
    <t>Riswan</t>
  </si>
  <si>
    <t>H. Zulhaq Arsyad</t>
  </si>
  <si>
    <t>anugerahbintanpratama2018@gmail.com</t>
  </si>
  <si>
    <t>84.865.658.3-214.000</t>
  </si>
  <si>
    <t>Golf Lake Rukan Venice Blok B No. 56 Jl. Lkr. Luar Barat No. 2 RT 9 RW 14 Cengkareng Timur, Kecamatan Cengkareng, Kota Jakarta Barat. Daerah Khusus Ibu Kota Jakarta 1173</t>
  </si>
  <si>
    <t>RSUD Dr. H. Chasan Boesoerie Ternate - Ternate (Kota)</t>
  </si>
  <si>
    <t>PemeliharaanRehabilitasi Pagar Kantor DPRD</t>
  </si>
  <si>
    <t>999.944.421,95</t>
  </si>
  <si>
    <t>CV RANAGHIA JAYA MANDIRI</t>
  </si>
  <si>
    <t>01/SP-KONTRAK-PPK/PEK-REHAB-PAGAR/APBD-SETWAN/IX/2024, Tanggal 18 September 2024</t>
  </si>
  <si>
    <t>Erwin</t>
  </si>
  <si>
    <t>M. Yusran A. Hasan</t>
  </si>
  <si>
    <t>ranaghiajayamandiri@gmail.com</t>
  </si>
  <si>
    <t>93.344.504.1-942.000</t>
  </si>
  <si>
    <t>Jl. Stadion RT.008 RW. 004, Kota Ternate.</t>
  </si>
  <si>
    <t>Jl. Tuan Guru Qadi Abdussalam, Sofifi - Tidore Kepulauan (Kota)</t>
  </si>
  <si>
    <t>Biro Kesejahteraan Rakyat</t>
  </si>
  <si>
    <t>Rehabilitasi Masjid</t>
  </si>
  <si>
    <t>CV. MEGA PRATAMA LESTARI</t>
  </si>
  <si>
    <t>030.d1/KONTRAK-FISIK/KESRA-MU/APBD/2024 - 09 Oktober 2024</t>
  </si>
  <si>
    <t>Fadly U. Muhammad</t>
  </si>
  <si>
    <t>Lynda Gandawati</t>
  </si>
  <si>
    <t>mega.pratamalestaricv01@gmail.com</t>
  </si>
  <si>
    <t>02.698.017.7-942.000</t>
  </si>
  <si>
    <t>Jl. Raya Bastiong RT. 002 / RW. 003 Kel. Bastiong Karance - Ternate</t>
  </si>
  <si>
    <t>Desa Lolobata, Kec. Wasile Tengah - Halmahera Timur (Kab.)</t>
  </si>
  <si>
    <t>POKJA 10</t>
  </si>
  <si>
    <t xml:space="preserve">Perencanaan Bangunan Pengaman Pantai Patang, Kao Utara </t>
  </si>
  <si>
    <t>Pembangunan Rumah Ibadah Masjid At Toriq</t>
  </si>
  <si>
    <t>Pembangunan Musallah Al - Isra</t>
  </si>
  <si>
    <t>Pengadaan Peralatan Elektronik Ruang Paripurna</t>
  </si>
  <si>
    <t>Penyusunan DED Air Baku Waringin, Morotai</t>
  </si>
  <si>
    <t>PT. PRIANGAN RAYA UTAMA</t>
  </si>
  <si>
    <t>CV. PORTAL CONSULTANT</t>
  </si>
  <si>
    <t>CV. WAHULUN LESTARI</t>
  </si>
  <si>
    <t>CV. NABIEL PRATAMA</t>
  </si>
  <si>
    <t>CV REDSPRO BINTANG MEDIA</t>
  </si>
  <si>
    <t>POKJA 11</t>
  </si>
  <si>
    <t>Badan Pendapatan Daerah</t>
  </si>
  <si>
    <t>Pemeliharaan Ruang Server (BAPENDA)</t>
  </si>
  <si>
    <t>Kota Ternate - Ternate (Kota)</t>
  </si>
  <si>
    <t>POKJA 12</t>
  </si>
  <si>
    <t>Perencanaan Rehabilitasi Dermaga / Tambatan Perahu Matantengin, P. Makian (Kode RUP : 51748946)</t>
  </si>
  <si>
    <t>600.620/SP/DPUPR-MU/BM/PPK-III/14089361/APBD/2024
KONTRAK : TANGGAL 25 JULI 2024
SPMK : Tanggal 29 Juli 2024</t>
  </si>
  <si>
    <t>600.620/SP/DPUPR-MU/BM/PPK-BM.II/FSK-01DAK/2024
SPMK : Tanggal 29 Juli 2024</t>
  </si>
  <si>
    <t xml:space="preserve">  CV. RIFQI PRATAMA CONSULTAN</t>
  </si>
  <si>
    <t>600.610/SP/KONTRAK/DPUPR-MU/PPK.SDA.I/APBD/PERENC.02/2024 TANGGAL 04 OKTOBER 2024</t>
  </si>
  <si>
    <t>600.610/SP/KONTRAK/DPUPR-MU/PPK-SDA.1/APBD/PERENC.01/2024 TANGGAL 26 SEPTEMBER 2024</t>
  </si>
  <si>
    <t>031.d1/KONTRAK-FISIK/KESRA-MU/APBD/2024 TANGGAL 11 OKTOBER 2024</t>
  </si>
  <si>
    <t>033.d1/KONTRAK-FISIK/KESRA-MU/APBD/2024 TANGGAL 17 OKTOBER 2024</t>
  </si>
  <si>
    <t>03/SP-PPK-KTRK/PEK-ELEKTRONIK/SETWAN/X/2024 TANGGAL 18 OKTOBER 2024</t>
  </si>
  <si>
    <t>MELALUI TENDER/SELEKSI TAHUN ANGGARAN 2024</t>
  </si>
  <si>
    <t>Moh. Rizal Usman, ST</t>
  </si>
  <si>
    <t>Ir. Edy Sugiyarso</t>
  </si>
  <si>
    <t>Muhammad Ridha Radjiloen</t>
  </si>
  <si>
    <t>Rismunandar</t>
  </si>
  <si>
    <t>Rathi Nuryani Achmad</t>
  </si>
  <si>
    <t>Irwan Usman</t>
  </si>
  <si>
    <t>Fitriyani Basir, ST</t>
  </si>
  <si>
    <t>Muhja La Saihi</t>
  </si>
  <si>
    <t>Arsandi Yainahu</t>
  </si>
  <si>
    <t>Hartina Yusuf, ST</t>
  </si>
  <si>
    <t>Farida Assagaf</t>
  </si>
  <si>
    <t>Jamaludin Usman</t>
  </si>
  <si>
    <t>M. Sakir Duwila</t>
  </si>
  <si>
    <t>Hairudin Alimuddin</t>
  </si>
  <si>
    <t>arso.dalem@yahoo.com</t>
  </si>
  <si>
    <t>02.698.044.1-942.000</t>
  </si>
  <si>
    <t>Jl. Branjangan No. 73 Kel. Santiong - Ternate Tengah</t>
  </si>
  <si>
    <t>Payahe - Dehepodo - Tidore Kepulauan (Kota)</t>
  </si>
  <si>
    <t>cvmentaribiru@gmail.com</t>
  </si>
  <si>
    <t>90.152.583.2-942.000</t>
  </si>
  <si>
    <t>Kel. Toboleu, Kec.  Kota Ternate Utara</t>
  </si>
  <si>
    <t>dermaga Tuada Jailolo</t>
  </si>
  <si>
    <t>ratiachmad04@gmail.com</t>
  </si>
  <si>
    <t>96.028.075.8-942.000</t>
  </si>
  <si>
    <t>Jl. Batu Angus RT. 001 / RW. 001 Kel. Sulamadaha Pulau Ternate</t>
  </si>
  <si>
    <t>fikriumakaapa10@gmail.com</t>
  </si>
  <si>
    <t>96.801.897.8-942.000</t>
  </si>
  <si>
    <t>Jl. Pertamina Kelurahan Gambesi Kec. Ternate Selatan</t>
  </si>
  <si>
    <t>Dermaga bacan</t>
  </si>
  <si>
    <t>cvpermatabersama09@gmail.com</t>
  </si>
  <si>
    <t>82.442.246.3-942.000</t>
  </si>
  <si>
    <t>Desa falahu kec sanana kab kepulauan sula</t>
  </si>
  <si>
    <t>Tuada Jailolo</t>
  </si>
  <si>
    <t>cvbahanabestari@yahoo.co.id</t>
  </si>
  <si>
    <t>JL. SALIM FABANYO KEL. MUHAJIRIN KEC. KOTA TERNATE TENGAH</t>
  </si>
  <si>
    <t>Manitingting Kab. Haltim</t>
  </si>
  <si>
    <t>kusubirahi01@gmail.com</t>
  </si>
  <si>
    <t>02.040.265.7-942.000</t>
  </si>
  <si>
    <t>Kel.Dowora Kec.Tidore Timur</t>
  </si>
  <si>
    <t>UPTD Bacan - Halmahera Selatan (Kab.)</t>
  </si>
  <si>
    <t>cv.zero.kara23@gmail.com</t>
  </si>
  <si>
    <t>39.586.304.6-942.000</t>
  </si>
  <si>
    <t>JLN. SALIM FABANYO NO. 60 RT. 003 RW. 002 TANAH RAJA, KOTA TERNATE TENGAH KOTA TERNATE MALUKU UTARA</t>
  </si>
  <si>
    <t>Bacan - Halmahera Selatan (Kab.)</t>
  </si>
  <si>
    <t>berahicvassyifah@gmail.com</t>
  </si>
  <si>
    <t>99.692.656.4-942.000</t>
  </si>
  <si>
    <t>Pantura jaya, Patani Kab, Halteng</t>
  </si>
  <si>
    <t>ERWIN IRWAN M. SAID, ST</t>
  </si>
  <si>
    <t>ABDI ABDUL AZIZ</t>
  </si>
  <si>
    <t>082240203077</t>
  </si>
  <si>
    <t>02.550.363.2-943.000</t>
  </si>
  <si>
    <t>DESA GOSOMA KEC. TOBELO KAB. HALMAHERA UTARA</t>
  </si>
  <si>
    <t>DESA KULOJAYA KEC, WEDA TENGAH - HALMAHERA TENGAH (KAB.)</t>
  </si>
  <si>
    <t>IRMA A. ABDULLAH, ST</t>
  </si>
  <si>
    <t>MHD.ISRA R. AMBARAK</t>
  </si>
  <si>
    <t>081342257562</t>
  </si>
  <si>
    <t>01.904.580.6-942.000</t>
  </si>
  <si>
    <t>JL.BRANJANGAN NO.41 RT 03/03 KEL.KALUMPANG TERNATE UTARA KOTA MADYA TERNATE</t>
  </si>
  <si>
    <t>RUAS PAYAHE - DEHEPODO - TIDORE KEPULAUAN (KOTA)</t>
  </si>
  <si>
    <t>IR. SYUKRI M. NUR. ST, M.Eng</t>
  </si>
  <si>
    <t>TATANG SAEPUDIN, SE</t>
  </si>
  <si>
    <t>08113505795</t>
  </si>
  <si>
    <t>66.675.674.7-429.000</t>
  </si>
  <si>
    <t>JALAN TERATAI MEKAR NO 14 PANGHEGAR PERMAI - BANDUNG - BANDUNG (KOTA) - JAWA BARAT</t>
  </si>
  <si>
    <t>DESA TOGOLA WAYOLI KEC - HALMAHERA BARAT (KAB.)</t>
  </si>
  <si>
    <t>RISWAN, SKM</t>
  </si>
  <si>
    <t>MUHAMMAD RIZAL, ST</t>
  </si>
  <si>
    <t>081342128234</t>
  </si>
  <si>
    <t>PERUM GRIYA NGADE LESTARI BLOK A. NO. 15, KEL. NGADE, KEC. TERNATE SELATAN, KOTA TERNATE</t>
  </si>
  <si>
    <t>RSUD DR. H. CHASAN BOESOERIE TERNATE - TERNATE (KOTA)</t>
  </si>
  <si>
    <t>Syafruddin, ST</t>
  </si>
  <si>
    <t>Asep Rizky Saepulloh</t>
  </si>
  <si>
    <t>Munasa.kreasinusantara@yahoo.com</t>
  </si>
  <si>
    <t>02.108.378.7-429.000</t>
  </si>
  <si>
    <t>Jalan Mars Selatan No 17 Margahayu Raya Bandung</t>
  </si>
  <si>
    <t>Sofifi - Tidore Kepulauan (Kota)</t>
  </si>
  <si>
    <t>Ir.Syarifuddin K</t>
  </si>
  <si>
    <t>JL. KUTACANE UTARA NO.17 PERM.BUKIT BARUGA.MAKASSAR</t>
  </si>
  <si>
    <t>Ruas Lapi - Darume - Halmahera Utara (Kab.)</t>
  </si>
  <si>
    <t>NURLAILA HUSIN</t>
  </si>
  <si>
    <t>Adlan Muhammad</t>
  </si>
  <si>
    <t>faisayangkonstruksi@gmail.com</t>
  </si>
  <si>
    <t>43.856.489.0-943.000</t>
  </si>
  <si>
    <t>Desa Guaemaadu RT.003 RW.002 Kec. Jailolo Kab. Halmahera Barat</t>
  </si>
  <si>
    <t>Galela - Tobelo Kab. Halbar</t>
  </si>
  <si>
    <t>Firawati sangaji</t>
  </si>
  <si>
    <t>toaraputramandiri17@gmail.com</t>
  </si>
  <si>
    <t>.90.124.331.1-943.000</t>
  </si>
  <si>
    <t>Desa Toara Kec. Galela</t>
  </si>
  <si>
    <t>Desa Ori Kec. Galela - Halmahera Utara (Kab.)</t>
  </si>
  <si>
    <t>Syaiful Amin</t>
  </si>
  <si>
    <t>Solehudin</t>
  </si>
  <si>
    <t>prianganrayautama77@gmail.com</t>
  </si>
  <si>
    <t>31.357.528.4-423.000</t>
  </si>
  <si>
    <t>Jl. Randusari 6 No. 5 B Kel. Antapani Kidul, Kec. Antapani Bandung - Bandung (Kota) - Jawa Bara</t>
  </si>
  <si>
    <t>Desa Waringin,Kec Morotai Selatan Barat - Pulau Morotai (Kab.)</t>
  </si>
  <si>
    <t>ZULKARNAIN ABD. RACHMAN, ST</t>
  </si>
  <si>
    <t>cvportalconsultant@yahoo.com</t>
  </si>
  <si>
    <t>80.335.204.6-942.000</t>
  </si>
  <si>
    <t>JL. DANIEL BOHANG, KEL. KASTURIAN - Ternate (Kota) - Maluku Utara</t>
  </si>
  <si>
    <t>Pantai patang Kec, Kao Utara - Halmahera Utara (Kab.)</t>
  </si>
  <si>
    <t>widya stuti</t>
  </si>
  <si>
    <t>wahulunlestari03@gmail.com</t>
  </si>
  <si>
    <t>01.731.499.8-943.000</t>
  </si>
  <si>
    <t>Jl. Baru Sabla RT 015/RW 005 Kelurahan Sangaji, Ternate - Maluku Utara 97727 - Maluku Utara (Kab.) - Maluku Utara</t>
  </si>
  <si>
    <t>Kel. Ome Kota Tidore Kepulauan - Tidore Kepulauan (Kota)</t>
  </si>
  <si>
    <t>Fitria Abubakar</t>
  </si>
  <si>
    <t xml:space="preserve">cv.nabielpratama@gmail.com 081244304877 </t>
  </si>
  <si>
    <t>93.572.350.2-942.000</t>
  </si>
  <si>
    <t>Bastiong Karance. Kota Ternate Selatan Kota Ternate Maluku Utara - Ternate (Kota) - Maluku Utara</t>
  </si>
  <si>
    <t>Kel. Dufa-Dufa - Ternate (Kota)</t>
  </si>
  <si>
    <t>600.630/SP/DPUPR-MU/BM/PPK-III/KONS.04/APBD/2024 TTL, 23 SEPTEMBER 2024</t>
  </si>
  <si>
    <t>Muhammad Saleh</t>
  </si>
  <si>
    <t>Suparto, SE</t>
  </si>
  <si>
    <t>tatas_spectra90@yahoo.co.id</t>
  </si>
  <si>
    <t>01.528.455.7-941.000</t>
  </si>
  <si>
    <t xml:space="preserve">	Komplek BTN Maliaro Blok GIII No. 246 Ternate</t>
  </si>
  <si>
    <t>Ruas Keliling Pulau Makian - Halmahera Selatan (Kab.)</t>
  </si>
  <si>
    <t>027/01.01.14/SP-PPK/DAK-RSUD/2024 TGL 29 JULI 2024</t>
  </si>
  <si>
    <t xml:space="preserve">	Riswan </t>
  </si>
  <si>
    <t>Rofiin Araaf S</t>
  </si>
  <si>
    <t>ciptabarakati@gmail.com</t>
  </si>
  <si>
    <t>81.460.501.0-816.000</t>
  </si>
  <si>
    <t>Perumahan Griya Maharaja Blok C, Kel. Tobuha Kec. Puuwatu Kota Kendari - Kendari (Kota) - Sulawesi Tenggara</t>
  </si>
  <si>
    <t>027/02.02.17/SP-PPK/APBD-RSUD/2024 TGL 28 AGUSTUS 2024</t>
  </si>
  <si>
    <t>Tri Wahyudi Darwis,SE</t>
  </si>
  <si>
    <t xml:space="preserve">	pt.teknikeksakta@yahoo.com</t>
  </si>
  <si>
    <t>01.125.612.0-805.000</t>
  </si>
  <si>
    <t>KOMP. BTN MINASA UPA N 4 NO. 15 MAKASSAR</t>
  </si>
  <si>
    <t>600.610/KONTRAK/PPK-SDA.4/DPUPR-MU/APBD/PERNC.04/2024 TGL, 01 OKTOBER 2024</t>
  </si>
  <si>
    <t xml:space="preserve">Syukri M. Nur  </t>
  </si>
  <si>
    <t>Tatang Saepudin, SE</t>
  </si>
  <si>
    <t>tatabumiconsultant@gmail.com</t>
  </si>
  <si>
    <t>JALAN TERATAI MEKAR NO 14 PANGHEGAR PERMAI - BANDUNG</t>
  </si>
  <si>
    <t>Desa Oba Tengah - Tidore Kepulauan (Kota)</t>
  </si>
  <si>
    <t>650.046.268,60</t>
  </si>
  <si>
    <t>PT. FLASH INFORMATIKA CEMERLANG</t>
  </si>
  <si>
    <t>14176361/SP/PPK-BAPENDA-MU/X/2024  Tgl. 29 Oktober 2024</t>
  </si>
  <si>
    <t>Masyitah Nadjar</t>
  </si>
  <si>
    <t>FADLY KASIM</t>
  </si>
  <si>
    <t>fic@flash.co.id</t>
  </si>
  <si>
    <t>76.234.179.0-804.000</t>
  </si>
  <si>
    <r>
      <t>JL. KUTACANE UTARA NO.17 PERM.BUKIT BARUGA.MAKASSAR</t>
    </r>
    <r>
      <rPr>
        <sz val="11"/>
        <color theme="1"/>
        <rFont val="Calibri"/>
        <family val="2"/>
        <charset val="1"/>
        <scheme val="minor"/>
      </rPr>
      <t xml:space="preserve"> - Makassar (Kota) - Sulawesi Selatan</t>
    </r>
  </si>
  <si>
    <t xml:space="preserve">DAFTAR REKAP PAKET PROSES PEMILIHAN PENYEDIA BARANG/JASA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</si>
</sst>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0\%"/>
    <numFmt numFmtId="166" formatCode="_-* #,##0.00_-;\-* #,##0.00_-;_-* &quot;-&quot;_-;_-@_-"/>
  </numFmts>
  <fonts count="23" x14ac:knownFonts="1"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u/>
      <sz val="12"/>
      <color theme="10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rgb="FF0070C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u/>
      <sz val="11"/>
      <color theme="10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Footlight MT Light"/>
      <family val="1"/>
    </font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97">
    <xf numFmtId="0" fontId="0" fillId="0" borderId="0" xfId="0"/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66" fontId="5" fillId="0" borderId="4" xfId="6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 wrapText="1"/>
    </xf>
    <xf numFmtId="164" fontId="5" fillId="0" borderId="4" xfId="2" applyFont="1" applyFill="1" applyBorder="1" applyAlignment="1">
      <alignment horizontal="center" vertical="center" wrapText="1"/>
    </xf>
    <xf numFmtId="166" fontId="5" fillId="0" borderId="4" xfId="6" applyNumberFormat="1" applyFont="1" applyFill="1" applyBorder="1" applyAlignment="1">
      <alignment horizontal="left" vertical="center"/>
    </xf>
    <xf numFmtId="164" fontId="5" fillId="0" borderId="4" xfId="2" applyFont="1" applyFill="1" applyBorder="1" applyAlignment="1">
      <alignment vertical="center"/>
    </xf>
    <xf numFmtId="165" fontId="5" fillId="0" borderId="4" xfId="4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vertical="center" wrapText="1"/>
    </xf>
    <xf numFmtId="0" fontId="5" fillId="0" borderId="4" xfId="1" applyFont="1" applyFill="1" applyBorder="1" applyAlignment="1">
      <alignment horizontal="center" vertical="center" wrapText="1"/>
    </xf>
    <xf numFmtId="164" fontId="5" fillId="0" borderId="4" xfId="2" applyFont="1" applyFill="1" applyBorder="1" applyAlignment="1">
      <alignment vertical="center" wrapText="1"/>
    </xf>
    <xf numFmtId="164" fontId="5" fillId="0" borderId="4" xfId="2" quotePrefix="1" applyFont="1" applyFill="1" applyBorder="1" applyAlignment="1">
      <alignment horizontal="center" vertical="center" wrapText="1"/>
    </xf>
    <xf numFmtId="166" fontId="5" fillId="0" borderId="4" xfId="6" applyNumberFormat="1" applyFont="1" applyFill="1" applyBorder="1" applyAlignment="1">
      <alignment vertical="center"/>
    </xf>
    <xf numFmtId="0" fontId="9" fillId="0" borderId="4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4" fillId="0" borderId="3" xfId="5" applyFill="1" applyBorder="1" applyAlignment="1">
      <alignment horizontal="center" vertical="center" wrapText="1"/>
    </xf>
    <xf numFmtId="0" fontId="9" fillId="0" borderId="4" xfId="1" applyFont="1" applyFill="1" applyBorder="1" applyAlignment="1">
      <alignment vertical="center" wrapText="1"/>
    </xf>
    <xf numFmtId="0" fontId="6" fillId="0" borderId="4" xfId="1" applyFont="1" applyFill="1" applyBorder="1" applyAlignment="1">
      <alignment vertical="center" wrapText="1"/>
    </xf>
    <xf numFmtId="0" fontId="6" fillId="0" borderId="4" xfId="1" applyFont="1" applyFill="1" applyBorder="1" applyAlignment="1">
      <alignment horizontal="center" vertical="center"/>
    </xf>
    <xf numFmtId="166" fontId="6" fillId="0" borderId="4" xfId="6" applyNumberFormat="1" applyFont="1" applyFill="1" applyBorder="1" applyAlignment="1">
      <alignment horizontal="center" vertical="center"/>
    </xf>
    <xf numFmtId="0" fontId="5" fillId="0" borderId="4" xfId="2" applyNumberFormat="1" applyFont="1" applyFill="1" applyBorder="1" applyAlignment="1">
      <alignment vertical="center" wrapText="1"/>
    </xf>
    <xf numFmtId="0" fontId="5" fillId="0" borderId="4" xfId="1" applyFont="1" applyFill="1" applyBorder="1" applyAlignment="1">
      <alignment vertical="center"/>
    </xf>
    <xf numFmtId="0" fontId="17" fillId="0" borderId="4" xfId="1" applyFont="1" applyFill="1" applyBorder="1" applyAlignment="1">
      <alignment horizontal="center" vertical="center" wrapText="1"/>
    </xf>
    <xf numFmtId="0" fontId="17" fillId="0" borderId="4" xfId="1" quotePrefix="1" applyFont="1" applyFill="1" applyBorder="1" applyAlignment="1">
      <alignment horizontal="center" vertical="center" wrapText="1"/>
    </xf>
    <xf numFmtId="166" fontId="5" fillId="0" borderId="4" xfId="6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 wrapText="1"/>
    </xf>
    <xf numFmtId="166" fontId="5" fillId="0" borderId="4" xfId="6" applyNumberFormat="1" applyFont="1" applyFill="1" applyBorder="1" applyAlignment="1">
      <alignment horizontal="center" vertical="center" wrapText="1"/>
    </xf>
    <xf numFmtId="3" fontId="5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10" fillId="0" borderId="4" xfId="5" applyFont="1" applyFill="1" applyBorder="1" applyAlignment="1">
      <alignment horizontal="center" vertical="center" wrapText="1"/>
    </xf>
    <xf numFmtId="165" fontId="5" fillId="0" borderId="4" xfId="4" applyNumberFormat="1" applyFont="1" applyFill="1" applyBorder="1" applyAlignment="1">
      <alignment horizontal="center" vertical="center" wrapText="1"/>
    </xf>
    <xf numFmtId="0" fontId="11" fillId="0" borderId="0" xfId="5" applyFont="1" applyFill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quotePrefix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4" fillId="0" borderId="4" xfId="5" quotePrefix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horizontal="left" vertical="center" wrapText="1"/>
    </xf>
    <xf numFmtId="164" fontId="5" fillId="0" borderId="4" xfId="2" applyFont="1" applyFill="1" applyBorder="1" applyAlignment="1">
      <alignment horizontal="left" vertical="center" wrapText="1"/>
    </xf>
    <xf numFmtId="0" fontId="13" fillId="0" borderId="4" xfId="5" applyFont="1" applyFill="1" applyBorder="1" applyAlignment="1">
      <alignment horizontal="center" vertical="center" wrapText="1"/>
    </xf>
    <xf numFmtId="166" fontId="5" fillId="0" borderId="4" xfId="6" applyNumberFormat="1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 wrapText="1"/>
    </xf>
    <xf numFmtId="0" fontId="10" fillId="0" borderId="4" xfId="5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8" fillId="0" borderId="4" xfId="0" applyFont="1" applyFill="1" applyBorder="1" applyAlignment="1">
      <alignment vertical="center" wrapText="1"/>
    </xf>
    <xf numFmtId="0" fontId="4" fillId="0" borderId="0" xfId="5" applyFill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165" fontId="5" fillId="0" borderId="4" xfId="4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right" vertical="center"/>
    </xf>
    <xf numFmtId="0" fontId="12" fillId="0" borderId="5" xfId="1" applyFont="1" applyFill="1" applyBorder="1" applyAlignment="1">
      <alignment horizontal="right" vertical="center"/>
    </xf>
    <xf numFmtId="0" fontId="12" fillId="0" borderId="2" xfId="1" applyFont="1" applyFill="1" applyBorder="1" applyAlignment="1">
      <alignment horizontal="right" vertical="center"/>
    </xf>
    <xf numFmtId="0" fontId="12" fillId="0" borderId="2" xfId="1" applyFont="1" applyFill="1" applyBorder="1" applyAlignment="1">
      <alignment horizontal="center" vertical="center" wrapText="1"/>
    </xf>
    <xf numFmtId="164" fontId="3" fillId="0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164" fontId="3" fillId="0" borderId="4" xfId="1" applyNumberFormat="1" applyFont="1" applyFill="1" applyBorder="1" applyAlignment="1">
      <alignment horizontal="right" vertical="center" wrapText="1"/>
    </xf>
    <xf numFmtId="0" fontId="3" fillId="0" borderId="4" xfId="1" applyFont="1" applyFill="1" applyBorder="1" applyAlignment="1">
      <alignment horizontal="right" vertical="center"/>
    </xf>
  </cellXfs>
  <cellStyles count="7">
    <cellStyle name="Hipertaut" xfId="5" builtinId="8"/>
    <cellStyle name="Koma [0]" xfId="6" builtinId="6"/>
    <cellStyle name="Koma 2" xfId="2" xr:uid="{98A8D113-E384-9B41-BA6C-F9C00AFC0AE7}"/>
    <cellStyle name="Normal" xfId="0" builtinId="0"/>
    <cellStyle name="Normal 2" xfId="1" xr:uid="{BA58BB37-4A47-4C45-8BA9-ADE0B92E986A}"/>
    <cellStyle name="Persen" xfId="4" builtinId="5"/>
    <cellStyle name="Persen 2" xfId="3" xr:uid="{A6048F64-ABD5-2E40-80E1-C3CAB01D3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44718</xdr:colOff>
      <xdr:row>15</xdr:row>
      <xdr:rowOff>143098</xdr:rowOff>
    </xdr:from>
    <xdr:to>
      <xdr:col>11</xdr:col>
      <xdr:colOff>3103451</xdr:colOff>
      <xdr:row>15</xdr:row>
      <xdr:rowOff>375633</xdr:rowOff>
    </xdr:to>
    <xdr:sp macro="" textlink="">
      <xdr:nvSpPr>
        <xdr:cNvPr id="2" name="Kotak Teks 1">
          <a:extLst>
            <a:ext uri="{FF2B5EF4-FFF2-40B4-BE49-F238E27FC236}">
              <a16:creationId xmlns:a16="http://schemas.microsoft.com/office/drawing/2014/main" id="{B7C5D028-B793-2759-9267-2E12410367A3}"/>
            </a:ext>
          </a:extLst>
        </xdr:cNvPr>
        <xdr:cNvSpPr txBox="1"/>
      </xdr:nvSpPr>
      <xdr:spPr>
        <a:xfrm>
          <a:off x="15320493" y="9042042"/>
          <a:ext cx="4758028" cy="23253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100">
              <a:solidFill>
                <a:schemeClr val="bg1"/>
              </a:solidFill>
            </a:rPr>
            <a:t>TENDER GAGAL</a:t>
          </a:r>
        </a:p>
        <a:p>
          <a:endParaRPr lang="id-ID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pse.malutprov.go.id/eproc4/lelang/14158361/pengumumanlelang" TargetMode="External"/><Relationship Id="rId13" Type="http://schemas.openxmlformats.org/officeDocument/2006/relationships/hyperlink" Target="mailto:cvpermatabersama09@gmail.com" TargetMode="External"/><Relationship Id="rId18" Type="http://schemas.openxmlformats.org/officeDocument/2006/relationships/hyperlink" Target="mailto:berahicvassyifah@gmail.com" TargetMode="External"/><Relationship Id="rId26" Type="http://schemas.openxmlformats.org/officeDocument/2006/relationships/hyperlink" Target="mailto:ciptabarakati@gmail.com" TargetMode="External"/><Relationship Id="rId3" Type="http://schemas.openxmlformats.org/officeDocument/2006/relationships/hyperlink" Target="mailto:cvketapangg@gmail.com/%20085395729116" TargetMode="External"/><Relationship Id="rId21" Type="http://schemas.openxmlformats.org/officeDocument/2006/relationships/hyperlink" Target="mailto:faisayangkonstruksi@gmail.com" TargetMode="External"/><Relationship Id="rId7" Type="http://schemas.openxmlformats.org/officeDocument/2006/relationships/hyperlink" Target="https://lpse.malutprov.go.id/eproc4/evaluasi/110660361/detail" TargetMode="External"/><Relationship Id="rId12" Type="http://schemas.openxmlformats.org/officeDocument/2006/relationships/hyperlink" Target="mailto:fikriumakaapa10@gmail.com" TargetMode="External"/><Relationship Id="rId17" Type="http://schemas.openxmlformats.org/officeDocument/2006/relationships/hyperlink" Target="mailto:cv.zero.kara23@gmail.com" TargetMode="External"/><Relationship Id="rId25" Type="http://schemas.openxmlformats.org/officeDocument/2006/relationships/hyperlink" Target="mailto:tatabumiconsultant@gmail.com" TargetMode="External"/><Relationship Id="rId2" Type="http://schemas.openxmlformats.org/officeDocument/2006/relationships/hyperlink" Target="mailto:cvkencanamandiri88@gmail.com/82190223860" TargetMode="External"/><Relationship Id="rId16" Type="http://schemas.openxmlformats.org/officeDocument/2006/relationships/hyperlink" Target="mailto:kusubirahi01@gmail.com" TargetMode="External"/><Relationship Id="rId20" Type="http://schemas.openxmlformats.org/officeDocument/2006/relationships/hyperlink" Target="mailto:ir.syarifuddinkulawu@yahoo.co.id" TargetMode="External"/><Relationship Id="rId1" Type="http://schemas.openxmlformats.org/officeDocument/2006/relationships/hyperlink" Target="mailto:nip_joni@yahoo.co.id%20/%200921-3110880" TargetMode="External"/><Relationship Id="rId6" Type="http://schemas.openxmlformats.org/officeDocument/2006/relationships/hyperlink" Target="https://lpse.malutprov.go.id/eproc4/evaluasi/110958361/detail" TargetMode="External"/><Relationship Id="rId11" Type="http://schemas.openxmlformats.org/officeDocument/2006/relationships/hyperlink" Target="mailto:ratiachmad04@gmail.com" TargetMode="External"/><Relationship Id="rId24" Type="http://schemas.openxmlformats.org/officeDocument/2006/relationships/hyperlink" Target="mailto:tatas_spectra90@yahoo.co.id" TargetMode="External"/><Relationship Id="rId5" Type="http://schemas.openxmlformats.org/officeDocument/2006/relationships/hyperlink" Target="https://lpse.malutprov.go.id/eproc4/evaluasinontender/7265361/detail" TargetMode="External"/><Relationship Id="rId15" Type="http://schemas.openxmlformats.org/officeDocument/2006/relationships/hyperlink" Target="mailto:cvbahanabestari@yahoo.co.id" TargetMode="External"/><Relationship Id="rId23" Type="http://schemas.openxmlformats.org/officeDocument/2006/relationships/hyperlink" Target="mailto:cv.nabielpratama@gmail.com%20081244304877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mailto:cvmentaribiru@gmail.com" TargetMode="External"/><Relationship Id="rId19" Type="http://schemas.openxmlformats.org/officeDocument/2006/relationships/hyperlink" Target="mailto:Munasa.kreasinusantara@yahoo.com" TargetMode="External"/><Relationship Id="rId4" Type="http://schemas.openxmlformats.org/officeDocument/2006/relationships/hyperlink" Target="https://lpse.malutprov.go.id/eproc4/evaluasi/110829361/detail" TargetMode="External"/><Relationship Id="rId9" Type="http://schemas.openxmlformats.org/officeDocument/2006/relationships/hyperlink" Target="mailto:arso.dalem@yahoo.com" TargetMode="External"/><Relationship Id="rId14" Type="http://schemas.openxmlformats.org/officeDocument/2006/relationships/hyperlink" Target="mailto:radjahriski1984@gmail.com" TargetMode="External"/><Relationship Id="rId22" Type="http://schemas.openxmlformats.org/officeDocument/2006/relationships/hyperlink" Target="mailto:toaraputramandiri17@gmail.co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12BF-CE62-4772-B9F4-3AD6F77310A4}">
  <dimension ref="A1:Z64"/>
  <sheetViews>
    <sheetView tabSelected="1" view="pageBreakPreview" topLeftCell="F1" zoomScale="75" zoomScaleNormal="100" zoomScaleSheetLayoutView="100" workbookViewId="0">
      <selection activeCell="A2" sqref="A2:V2"/>
    </sheetView>
  </sheetViews>
  <sheetFormatPr baseColWidth="10" defaultColWidth="8.83203125" defaultRowHeight="14" x14ac:dyDescent="0.2"/>
  <cols>
    <col min="1" max="1" width="3.33203125" style="4" customWidth="1"/>
    <col min="2" max="2" width="22.83203125" style="4" customWidth="1"/>
    <col min="3" max="3" width="23.5" style="3" customWidth="1"/>
    <col min="4" max="4" width="42.83203125" style="3" customWidth="1"/>
    <col min="5" max="5" width="23.1640625" style="5" customWidth="1"/>
    <col min="6" max="6" width="18.1640625" style="6" customWidth="1"/>
    <col min="7" max="7" width="20.83203125" style="5" customWidth="1"/>
    <col min="8" max="8" width="20.6640625" style="5" customWidth="1"/>
    <col min="9" max="10" width="12.5" style="3" customWidth="1"/>
    <col min="11" max="11" width="22.33203125" style="7" customWidth="1"/>
    <col min="12" max="12" width="41.83203125" style="3" customWidth="1"/>
    <col min="13" max="14" width="20.33203125" style="3" bestFit="1" customWidth="1"/>
    <col min="15" max="15" width="20.5" style="3" customWidth="1"/>
    <col min="16" max="16" width="20" style="3" customWidth="1"/>
    <col min="17" max="17" width="31.83203125" style="3" customWidth="1"/>
    <col min="18" max="18" width="17.83203125" style="3" customWidth="1"/>
    <col min="19" max="19" width="36.1640625" style="3" customWidth="1"/>
    <col min="20" max="20" width="25.1640625" style="3" customWidth="1"/>
    <col min="21" max="21" width="18.5" style="3" customWidth="1"/>
    <col min="22" max="22" width="14.5" style="3" customWidth="1"/>
    <col min="23" max="16384" width="8.83203125" style="3"/>
  </cols>
  <sheetData>
    <row r="1" spans="1:22" ht="18" x14ac:dyDescent="0.2">
      <c r="A1" s="8" t="s">
        <v>436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8" x14ac:dyDescent="0.2">
      <c r="A2" s="9" t="s">
        <v>292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4" spans="1:22" ht="3" customHeight="1" x14ac:dyDescent="0.2"/>
    <row r="5" spans="1:22" ht="90" customHeight="1" x14ac:dyDescent="0.2">
      <c r="A5" s="1" t="s">
        <v>0</v>
      </c>
      <c r="B5" s="1" t="s">
        <v>111</v>
      </c>
      <c r="C5" s="1" t="s">
        <v>1</v>
      </c>
      <c r="D5" s="2" t="s">
        <v>2</v>
      </c>
      <c r="E5" s="2" t="s">
        <v>3</v>
      </c>
      <c r="F5" s="2" t="s">
        <v>25</v>
      </c>
      <c r="G5" s="2" t="s">
        <v>4</v>
      </c>
      <c r="H5" s="2" t="s">
        <v>5</v>
      </c>
      <c r="I5" s="2" t="s">
        <v>17</v>
      </c>
      <c r="J5" s="2" t="s">
        <v>19</v>
      </c>
      <c r="K5" s="2" t="s">
        <v>6</v>
      </c>
      <c r="L5" s="1" t="s">
        <v>99</v>
      </c>
      <c r="M5" s="2" t="s">
        <v>7</v>
      </c>
      <c r="N5" s="2" t="s">
        <v>8</v>
      </c>
      <c r="O5" s="2" t="s">
        <v>29</v>
      </c>
      <c r="P5" s="2" t="s">
        <v>30</v>
      </c>
      <c r="Q5" s="2" t="s">
        <v>31</v>
      </c>
      <c r="R5" s="2" t="s">
        <v>22</v>
      </c>
      <c r="S5" s="2" t="s">
        <v>23</v>
      </c>
      <c r="T5" s="2" t="s">
        <v>48</v>
      </c>
      <c r="U5" s="2" t="s">
        <v>9</v>
      </c>
      <c r="V5" s="2" t="s">
        <v>10</v>
      </c>
    </row>
    <row r="6" spans="1:22" s="21" customFormat="1" ht="51" customHeight="1" x14ac:dyDescent="0.2">
      <c r="A6" s="10">
        <v>1</v>
      </c>
      <c r="B6" s="11" t="s">
        <v>112</v>
      </c>
      <c r="C6" s="12" t="s">
        <v>113</v>
      </c>
      <c r="D6" s="12" t="s">
        <v>114</v>
      </c>
      <c r="E6" s="13" t="s">
        <v>120</v>
      </c>
      <c r="F6" s="14" t="s">
        <v>28</v>
      </c>
      <c r="G6" s="15">
        <v>298911090</v>
      </c>
      <c r="H6" s="15">
        <v>298911090</v>
      </c>
      <c r="I6" s="16"/>
      <c r="J6" s="16"/>
      <c r="K6" s="17" t="s">
        <v>286</v>
      </c>
      <c r="L6" s="10"/>
      <c r="M6" s="18">
        <v>282822450</v>
      </c>
      <c r="N6" s="18">
        <f t="shared" ref="N6:N11" si="0">M6</f>
        <v>282822450</v>
      </c>
      <c r="O6" s="16"/>
      <c r="P6" s="16"/>
      <c r="Q6" s="16"/>
      <c r="R6" s="16"/>
      <c r="S6" s="16"/>
      <c r="T6" s="16"/>
      <c r="U6" s="19">
        <f t="shared" ref="U6:U29" si="1">G6-N6</f>
        <v>16088640</v>
      </c>
      <c r="V6" s="20">
        <f t="shared" ref="V6:V29" si="2">G6/U6*100%</f>
        <v>18.57901537979593</v>
      </c>
    </row>
    <row r="7" spans="1:22" s="21" customFormat="1" ht="41" customHeight="1" x14ac:dyDescent="0.2">
      <c r="A7" s="10">
        <v>2</v>
      </c>
      <c r="B7" s="11"/>
      <c r="C7" s="12" t="s">
        <v>115</v>
      </c>
      <c r="D7" s="12" t="s">
        <v>116</v>
      </c>
      <c r="E7" s="22" t="s">
        <v>121</v>
      </c>
      <c r="F7" s="14" t="s">
        <v>26</v>
      </c>
      <c r="G7" s="15">
        <v>11000000000</v>
      </c>
      <c r="H7" s="15">
        <v>10987760153.65</v>
      </c>
      <c r="I7" s="16"/>
      <c r="J7" s="16"/>
      <c r="K7" s="12" t="s">
        <v>122</v>
      </c>
      <c r="L7" s="12" t="s">
        <v>126</v>
      </c>
      <c r="M7" s="18">
        <v>10890301001.98</v>
      </c>
      <c r="N7" s="18">
        <f t="shared" si="0"/>
        <v>10890301001.98</v>
      </c>
      <c r="O7" s="16"/>
      <c r="P7" s="16"/>
      <c r="Q7" s="16"/>
      <c r="R7" s="16"/>
      <c r="S7" s="16"/>
      <c r="T7" s="16"/>
      <c r="U7" s="19">
        <f t="shared" si="1"/>
        <v>109698998.02000046</v>
      </c>
      <c r="V7" s="20">
        <f t="shared" si="2"/>
        <v>100.27438899664759</v>
      </c>
    </row>
    <row r="8" spans="1:22" s="21" customFormat="1" ht="68" customHeight="1" x14ac:dyDescent="0.2">
      <c r="A8" s="10">
        <v>3</v>
      </c>
      <c r="B8" s="11"/>
      <c r="C8" s="23" t="s">
        <v>113</v>
      </c>
      <c r="D8" s="12" t="s">
        <v>117</v>
      </c>
      <c r="E8" s="22" t="s">
        <v>121</v>
      </c>
      <c r="F8" s="14" t="s">
        <v>26</v>
      </c>
      <c r="G8" s="15">
        <v>10919928000</v>
      </c>
      <c r="H8" s="15">
        <v>10919928000</v>
      </c>
      <c r="I8" s="16"/>
      <c r="J8" s="16"/>
      <c r="K8" s="12" t="s">
        <v>123</v>
      </c>
      <c r="L8" s="12" t="s">
        <v>284</v>
      </c>
      <c r="M8" s="18">
        <v>10368471636</v>
      </c>
      <c r="N8" s="18">
        <f t="shared" si="0"/>
        <v>10368471636</v>
      </c>
      <c r="O8" s="16"/>
      <c r="P8" s="16"/>
      <c r="Q8" s="16"/>
      <c r="R8" s="16"/>
      <c r="S8" s="16"/>
      <c r="T8" s="16"/>
      <c r="U8" s="19">
        <f t="shared" si="1"/>
        <v>551456364</v>
      </c>
      <c r="V8" s="20">
        <f t="shared" si="2"/>
        <v>19.801980198019802</v>
      </c>
    </row>
    <row r="9" spans="1:22" s="21" customFormat="1" ht="57" customHeight="1" x14ac:dyDescent="0.2">
      <c r="A9" s="10">
        <v>4</v>
      </c>
      <c r="B9" s="11"/>
      <c r="C9" s="23"/>
      <c r="D9" s="12" t="s">
        <v>118</v>
      </c>
      <c r="E9" s="22" t="s">
        <v>121</v>
      </c>
      <c r="F9" s="14" t="s">
        <v>26</v>
      </c>
      <c r="G9" s="15">
        <v>9565154880</v>
      </c>
      <c r="H9" s="15">
        <v>9565154400</v>
      </c>
      <c r="I9" s="16"/>
      <c r="J9" s="16"/>
      <c r="K9" s="12" t="s">
        <v>124</v>
      </c>
      <c r="L9" s="12" t="s">
        <v>285</v>
      </c>
      <c r="M9" s="18">
        <v>9075370000</v>
      </c>
      <c r="N9" s="18">
        <f t="shared" si="0"/>
        <v>9075370000</v>
      </c>
      <c r="O9" s="16"/>
      <c r="P9" s="16"/>
      <c r="Q9" s="16"/>
      <c r="R9" s="16"/>
      <c r="S9" s="16"/>
      <c r="T9" s="16"/>
      <c r="U9" s="19">
        <f t="shared" si="1"/>
        <v>489784880</v>
      </c>
      <c r="V9" s="20">
        <f t="shared" si="2"/>
        <v>19.529298005279379</v>
      </c>
    </row>
    <row r="10" spans="1:22" s="21" customFormat="1" ht="38" customHeight="1" x14ac:dyDescent="0.2">
      <c r="A10" s="10">
        <v>5</v>
      </c>
      <c r="B10" s="11"/>
      <c r="C10" s="23"/>
      <c r="D10" s="12" t="s">
        <v>119</v>
      </c>
      <c r="E10" s="22" t="s">
        <v>121</v>
      </c>
      <c r="F10" s="14" t="s">
        <v>26</v>
      </c>
      <c r="G10" s="15">
        <v>10425000000</v>
      </c>
      <c r="H10" s="15">
        <v>10425000000</v>
      </c>
      <c r="I10" s="16"/>
      <c r="J10" s="16"/>
      <c r="K10" s="12" t="s">
        <v>125</v>
      </c>
      <c r="L10" s="12" t="s">
        <v>127</v>
      </c>
      <c r="M10" s="18">
        <v>9590201142</v>
      </c>
      <c r="N10" s="18">
        <f t="shared" si="0"/>
        <v>9590201142</v>
      </c>
      <c r="O10" s="16"/>
      <c r="P10" s="16"/>
      <c r="Q10" s="16"/>
      <c r="R10" s="16"/>
      <c r="S10" s="16"/>
      <c r="T10" s="16"/>
      <c r="U10" s="19">
        <f t="shared" si="1"/>
        <v>834798858</v>
      </c>
      <c r="V10" s="20">
        <f t="shared" si="2"/>
        <v>12.488038166434578</v>
      </c>
    </row>
    <row r="11" spans="1:22" s="21" customFormat="1" ht="55" customHeight="1" x14ac:dyDescent="0.2">
      <c r="A11" s="10">
        <v>1</v>
      </c>
      <c r="B11" s="11" t="s">
        <v>129</v>
      </c>
      <c r="C11" s="24" t="s">
        <v>128</v>
      </c>
      <c r="D11" s="12" t="s">
        <v>130</v>
      </c>
      <c r="E11" s="25" t="s">
        <v>120</v>
      </c>
      <c r="F11" s="14" t="s">
        <v>28</v>
      </c>
      <c r="G11" s="15">
        <v>151600000</v>
      </c>
      <c r="H11" s="15">
        <v>151500000</v>
      </c>
      <c r="I11" s="16"/>
      <c r="J11" s="16"/>
      <c r="K11" s="26" t="s">
        <v>134</v>
      </c>
      <c r="L11" s="27" t="s">
        <v>138</v>
      </c>
      <c r="M11" s="28">
        <v>148422984</v>
      </c>
      <c r="N11" s="28">
        <f t="shared" si="0"/>
        <v>148422984</v>
      </c>
      <c r="O11" s="16"/>
      <c r="P11" s="16"/>
      <c r="Q11" s="16"/>
      <c r="R11" s="16"/>
      <c r="S11" s="16"/>
      <c r="T11" s="16"/>
      <c r="U11" s="19">
        <f t="shared" si="1"/>
        <v>3177016</v>
      </c>
      <c r="V11" s="20">
        <f t="shared" si="2"/>
        <v>47.717732614503674</v>
      </c>
    </row>
    <row r="12" spans="1:22" s="21" customFormat="1" ht="54" customHeight="1" x14ac:dyDescent="0.2">
      <c r="A12" s="10">
        <v>2</v>
      </c>
      <c r="B12" s="11"/>
      <c r="C12" s="24"/>
      <c r="D12" s="12" t="s">
        <v>131</v>
      </c>
      <c r="E12" s="25" t="s">
        <v>120</v>
      </c>
      <c r="F12" s="14" t="s">
        <v>28</v>
      </c>
      <c r="G12" s="15">
        <v>800000000</v>
      </c>
      <c r="H12" s="15">
        <v>773410000</v>
      </c>
      <c r="I12" s="16"/>
      <c r="J12" s="16"/>
      <c r="K12" s="26" t="s">
        <v>135</v>
      </c>
      <c r="L12" s="25" t="s">
        <v>139</v>
      </c>
      <c r="M12" s="28">
        <v>719282220</v>
      </c>
      <c r="N12" s="28">
        <v>718449720</v>
      </c>
      <c r="O12" s="16"/>
      <c r="P12" s="16"/>
      <c r="Q12" s="16"/>
      <c r="R12" s="16"/>
      <c r="S12" s="16"/>
      <c r="T12" s="16"/>
      <c r="U12" s="19">
        <f t="shared" si="1"/>
        <v>81550280</v>
      </c>
      <c r="V12" s="20">
        <f t="shared" si="2"/>
        <v>9.8098988746574509</v>
      </c>
    </row>
    <row r="13" spans="1:22" s="21" customFormat="1" ht="64" customHeight="1" x14ac:dyDescent="0.2">
      <c r="A13" s="10">
        <v>3</v>
      </c>
      <c r="B13" s="11"/>
      <c r="C13" s="24" t="s">
        <v>113</v>
      </c>
      <c r="D13" s="12" t="s">
        <v>132</v>
      </c>
      <c r="E13" s="25" t="s">
        <v>120</v>
      </c>
      <c r="F13" s="14" t="s">
        <v>28</v>
      </c>
      <c r="G13" s="15">
        <v>359173950</v>
      </c>
      <c r="H13" s="15">
        <v>359173950</v>
      </c>
      <c r="I13" s="16"/>
      <c r="J13" s="16"/>
      <c r="K13" s="26" t="s">
        <v>136</v>
      </c>
      <c r="L13" s="25" t="s">
        <v>140</v>
      </c>
      <c r="M13" s="28">
        <v>350347080</v>
      </c>
      <c r="N13" s="28">
        <f>M13</f>
        <v>350347080</v>
      </c>
      <c r="O13" s="16"/>
      <c r="P13" s="16"/>
      <c r="Q13" s="16"/>
      <c r="R13" s="16"/>
      <c r="S13" s="16"/>
      <c r="T13" s="16"/>
      <c r="U13" s="19">
        <f t="shared" si="1"/>
        <v>8826870</v>
      </c>
      <c r="V13" s="20">
        <f t="shared" si="2"/>
        <v>40.690975396714805</v>
      </c>
    </row>
    <row r="14" spans="1:22" s="21" customFormat="1" ht="62" customHeight="1" x14ac:dyDescent="0.2">
      <c r="A14" s="10">
        <v>4</v>
      </c>
      <c r="B14" s="11"/>
      <c r="C14" s="24"/>
      <c r="D14" s="12" t="s">
        <v>133</v>
      </c>
      <c r="E14" s="25" t="s">
        <v>121</v>
      </c>
      <c r="F14" s="14" t="s">
        <v>26</v>
      </c>
      <c r="G14" s="15">
        <v>11493566400</v>
      </c>
      <c r="H14" s="15">
        <v>11493566400</v>
      </c>
      <c r="I14" s="16"/>
      <c r="J14" s="16"/>
      <c r="K14" s="26" t="s">
        <v>137</v>
      </c>
      <c r="L14" s="25" t="s">
        <v>141</v>
      </c>
      <c r="M14" s="28">
        <v>11148063831.85</v>
      </c>
      <c r="N14" s="28">
        <v>11148057028.870001</v>
      </c>
      <c r="O14" s="16"/>
      <c r="P14" s="16"/>
      <c r="Q14" s="16"/>
      <c r="R14" s="16"/>
      <c r="S14" s="16"/>
      <c r="T14" s="16"/>
      <c r="U14" s="19">
        <f t="shared" si="1"/>
        <v>345509371.12999916</v>
      </c>
      <c r="V14" s="20">
        <f t="shared" si="2"/>
        <v>33.265570662844638</v>
      </c>
    </row>
    <row r="15" spans="1:22" s="21" customFormat="1" ht="54" customHeight="1" x14ac:dyDescent="0.2">
      <c r="A15" s="10">
        <v>1</v>
      </c>
      <c r="B15" s="11" t="s">
        <v>142</v>
      </c>
      <c r="C15" s="29" t="s">
        <v>113</v>
      </c>
      <c r="D15" s="12" t="s">
        <v>144</v>
      </c>
      <c r="E15" s="25" t="s">
        <v>120</v>
      </c>
      <c r="F15" s="14" t="s">
        <v>28</v>
      </c>
      <c r="G15" s="15">
        <v>198536880</v>
      </c>
      <c r="H15" s="15">
        <v>198536880</v>
      </c>
      <c r="I15" s="30">
        <v>18</v>
      </c>
      <c r="J15" s="30">
        <v>4</v>
      </c>
      <c r="K15" s="26" t="s">
        <v>155</v>
      </c>
      <c r="L15" s="26" t="s">
        <v>165</v>
      </c>
      <c r="M15" s="28">
        <v>185663600</v>
      </c>
      <c r="N15" s="28">
        <f>M15</f>
        <v>185663600</v>
      </c>
      <c r="O15" s="31" t="s">
        <v>293</v>
      </c>
      <c r="P15" s="31" t="s">
        <v>294</v>
      </c>
      <c r="Q15" s="32" t="s">
        <v>307</v>
      </c>
      <c r="R15" s="31" t="s">
        <v>308</v>
      </c>
      <c r="S15" s="31" t="s">
        <v>309</v>
      </c>
      <c r="T15" s="31" t="s">
        <v>310</v>
      </c>
      <c r="U15" s="19">
        <f t="shared" si="1"/>
        <v>12873280</v>
      </c>
      <c r="V15" s="20">
        <f t="shared" si="2"/>
        <v>15.422400507096871</v>
      </c>
    </row>
    <row r="16" spans="1:22" s="21" customFormat="1" ht="40" customHeight="1" x14ac:dyDescent="0.2">
      <c r="A16" s="10">
        <v>2</v>
      </c>
      <c r="B16" s="11"/>
      <c r="C16" s="33" t="s">
        <v>143</v>
      </c>
      <c r="D16" s="34" t="s">
        <v>145</v>
      </c>
      <c r="E16" s="35" t="s">
        <v>121</v>
      </c>
      <c r="F16" s="14" t="s">
        <v>26</v>
      </c>
      <c r="G16" s="36">
        <v>2815000000</v>
      </c>
      <c r="H16" s="36">
        <v>2814998609.3299999</v>
      </c>
      <c r="I16" s="30"/>
      <c r="J16" s="30"/>
      <c r="K16" s="26" t="s">
        <v>156</v>
      </c>
      <c r="L16" s="26" t="s">
        <v>156</v>
      </c>
      <c r="M16" s="28">
        <v>0</v>
      </c>
      <c r="N16" s="28">
        <v>0</v>
      </c>
      <c r="O16" s="31"/>
      <c r="P16" s="31"/>
      <c r="Q16" s="31"/>
      <c r="R16" s="31"/>
      <c r="S16" s="31"/>
      <c r="T16" s="31"/>
      <c r="U16" s="19"/>
      <c r="V16" s="20"/>
    </row>
    <row r="17" spans="1:26" s="21" customFormat="1" ht="40" customHeight="1" x14ac:dyDescent="0.2">
      <c r="A17" s="10">
        <v>3</v>
      </c>
      <c r="B17" s="11"/>
      <c r="C17" s="33"/>
      <c r="D17" s="24" t="s">
        <v>146</v>
      </c>
      <c r="E17" s="22" t="s">
        <v>121</v>
      </c>
      <c r="F17" s="14" t="s">
        <v>26</v>
      </c>
      <c r="G17" s="15">
        <v>2415000000</v>
      </c>
      <c r="H17" s="15">
        <v>2414998999.75</v>
      </c>
      <c r="I17" s="30">
        <v>26</v>
      </c>
      <c r="J17" s="30">
        <v>2</v>
      </c>
      <c r="K17" s="26" t="s">
        <v>157</v>
      </c>
      <c r="L17" s="37" t="s">
        <v>166</v>
      </c>
      <c r="M17" s="28">
        <v>2245971269.7800002</v>
      </c>
      <c r="N17" s="28">
        <v>2245971269.7800002</v>
      </c>
      <c r="O17" s="31" t="s">
        <v>295</v>
      </c>
      <c r="P17" s="31" t="s">
        <v>296</v>
      </c>
      <c r="Q17" s="32" t="s">
        <v>311</v>
      </c>
      <c r="R17" s="31" t="s">
        <v>312</v>
      </c>
      <c r="S17" s="31" t="s">
        <v>313</v>
      </c>
      <c r="T17" s="31" t="s">
        <v>314</v>
      </c>
      <c r="U17" s="19">
        <f t="shared" si="1"/>
        <v>169028730.21999979</v>
      </c>
      <c r="V17" s="20">
        <f t="shared" si="2"/>
        <v>14.287511932774684</v>
      </c>
    </row>
    <row r="18" spans="1:26" s="21" customFormat="1" ht="40" customHeight="1" x14ac:dyDescent="0.2">
      <c r="A18" s="10">
        <v>4</v>
      </c>
      <c r="B18" s="11"/>
      <c r="C18" s="33"/>
      <c r="D18" s="38" t="s">
        <v>147</v>
      </c>
      <c r="E18" s="22" t="s">
        <v>121</v>
      </c>
      <c r="F18" s="14" t="s">
        <v>26</v>
      </c>
      <c r="G18" s="15">
        <v>7000000000</v>
      </c>
      <c r="H18" s="15">
        <v>6999999919.6700001</v>
      </c>
      <c r="I18" s="30">
        <v>28</v>
      </c>
      <c r="J18" s="30">
        <v>2</v>
      </c>
      <c r="K18" s="26" t="s">
        <v>158</v>
      </c>
      <c r="L18" s="37" t="s">
        <v>167</v>
      </c>
      <c r="M18" s="28">
        <v>6589799924.3999996</v>
      </c>
      <c r="N18" s="28">
        <v>6589799924.3999996</v>
      </c>
      <c r="O18" s="31" t="s">
        <v>295</v>
      </c>
      <c r="P18" s="31" t="s">
        <v>297</v>
      </c>
      <c r="Q18" s="32" t="s">
        <v>315</v>
      </c>
      <c r="R18" s="31" t="s">
        <v>316</v>
      </c>
      <c r="S18" s="31" t="s">
        <v>317</v>
      </c>
      <c r="T18" s="31" t="s">
        <v>314</v>
      </c>
      <c r="U18" s="19">
        <f t="shared" si="1"/>
        <v>410200075.60000038</v>
      </c>
      <c r="V18" s="20">
        <f t="shared" si="2"/>
        <v>17.064843271325799</v>
      </c>
    </row>
    <row r="19" spans="1:26" s="21" customFormat="1" ht="40" customHeight="1" x14ac:dyDescent="0.2">
      <c r="A19" s="10">
        <v>5</v>
      </c>
      <c r="B19" s="11"/>
      <c r="C19" s="33"/>
      <c r="D19" s="38" t="s">
        <v>148</v>
      </c>
      <c r="E19" s="22" t="s">
        <v>121</v>
      </c>
      <c r="F19" s="14" t="s">
        <v>26</v>
      </c>
      <c r="G19" s="15">
        <v>8800000000</v>
      </c>
      <c r="H19" s="15">
        <v>8799987960.5</v>
      </c>
      <c r="I19" s="30">
        <v>23</v>
      </c>
      <c r="J19" s="30">
        <v>3</v>
      </c>
      <c r="K19" s="26" t="s">
        <v>159</v>
      </c>
      <c r="L19" s="37" t="s">
        <v>168</v>
      </c>
      <c r="M19" s="28">
        <v>8255604598.25</v>
      </c>
      <c r="N19" s="28">
        <v>8255604598.25</v>
      </c>
      <c r="O19" s="31" t="s">
        <v>298</v>
      </c>
      <c r="P19" s="31" t="s">
        <v>299</v>
      </c>
      <c r="Q19" s="32" t="s">
        <v>318</v>
      </c>
      <c r="R19" s="31" t="s">
        <v>319</v>
      </c>
      <c r="S19" s="31" t="s">
        <v>320</v>
      </c>
      <c r="T19" s="31" t="s">
        <v>321</v>
      </c>
      <c r="U19" s="19">
        <f t="shared" si="1"/>
        <v>544395401.75</v>
      </c>
      <c r="V19" s="20">
        <f t="shared" si="2"/>
        <v>16.164721398659388</v>
      </c>
    </row>
    <row r="20" spans="1:26" s="21" customFormat="1" ht="40" customHeight="1" x14ac:dyDescent="0.2">
      <c r="A20" s="10">
        <v>6</v>
      </c>
      <c r="B20" s="11"/>
      <c r="C20" s="33"/>
      <c r="D20" s="24" t="s">
        <v>149</v>
      </c>
      <c r="E20" s="22" t="s">
        <v>121</v>
      </c>
      <c r="F20" s="14" t="s">
        <v>26</v>
      </c>
      <c r="G20" s="15">
        <v>303200000</v>
      </c>
      <c r="H20" s="15">
        <v>303200000</v>
      </c>
      <c r="I20" s="30">
        <v>16</v>
      </c>
      <c r="J20" s="30">
        <v>1</v>
      </c>
      <c r="K20" s="26" t="s">
        <v>160</v>
      </c>
      <c r="L20" s="37" t="s">
        <v>169</v>
      </c>
      <c r="M20" s="28">
        <v>272548462.08999997</v>
      </c>
      <c r="N20" s="28">
        <v>271993462.10000002</v>
      </c>
      <c r="O20" s="31" t="s">
        <v>300</v>
      </c>
      <c r="P20" s="31" t="s">
        <v>301</v>
      </c>
      <c r="Q20" s="32" t="s">
        <v>322</v>
      </c>
      <c r="R20" s="31" t="s">
        <v>323</v>
      </c>
      <c r="S20" s="31" t="s">
        <v>324</v>
      </c>
      <c r="T20" s="31" t="s">
        <v>325</v>
      </c>
      <c r="U20" s="19">
        <f t="shared" si="1"/>
        <v>31206537.899999976</v>
      </c>
      <c r="V20" s="20">
        <f t="shared" si="2"/>
        <v>9.7159127671128243</v>
      </c>
    </row>
    <row r="21" spans="1:26" s="21" customFormat="1" ht="54" customHeight="1" x14ac:dyDescent="0.2">
      <c r="A21" s="10">
        <v>7</v>
      </c>
      <c r="B21" s="11"/>
      <c r="C21" s="33"/>
      <c r="D21" s="24" t="s">
        <v>150</v>
      </c>
      <c r="E21" s="22" t="s">
        <v>121</v>
      </c>
      <c r="F21" s="14" t="s">
        <v>26</v>
      </c>
      <c r="G21" s="15">
        <v>1211000000</v>
      </c>
      <c r="H21" s="15">
        <v>1210979660.4200001</v>
      </c>
      <c r="I21" s="30">
        <v>26</v>
      </c>
      <c r="J21" s="30">
        <v>2</v>
      </c>
      <c r="K21" s="26" t="s">
        <v>66</v>
      </c>
      <c r="L21" s="37" t="s">
        <v>170</v>
      </c>
      <c r="M21" s="28">
        <v>1088142595.46</v>
      </c>
      <c r="N21" s="28">
        <v>1088142595.46</v>
      </c>
      <c r="O21" s="31" t="s">
        <v>298</v>
      </c>
      <c r="P21" s="31" t="s">
        <v>302</v>
      </c>
      <c r="Q21" s="32" t="s">
        <v>77</v>
      </c>
      <c r="R21" s="31" t="s">
        <v>75</v>
      </c>
      <c r="S21" s="31" t="s">
        <v>76</v>
      </c>
      <c r="T21" s="31" t="s">
        <v>325</v>
      </c>
      <c r="U21" s="19">
        <f t="shared" si="1"/>
        <v>122857404.53999996</v>
      </c>
      <c r="V21" s="20">
        <f t="shared" si="2"/>
        <v>9.8569557490995354</v>
      </c>
    </row>
    <row r="22" spans="1:26" s="21" customFormat="1" ht="40" customHeight="1" x14ac:dyDescent="0.2">
      <c r="A22" s="10">
        <v>8</v>
      </c>
      <c r="B22" s="11"/>
      <c r="C22" s="33"/>
      <c r="D22" s="24" t="s">
        <v>151</v>
      </c>
      <c r="E22" s="22" t="s">
        <v>121</v>
      </c>
      <c r="F22" s="14" t="s">
        <v>26</v>
      </c>
      <c r="G22" s="15">
        <v>825000000</v>
      </c>
      <c r="H22" s="15">
        <v>824928475.67999995</v>
      </c>
      <c r="I22" s="30">
        <v>12</v>
      </c>
      <c r="J22" s="30">
        <v>2</v>
      </c>
      <c r="K22" s="26" t="s">
        <v>161</v>
      </c>
      <c r="L22" s="37" t="s">
        <v>171</v>
      </c>
      <c r="M22" s="28">
        <v>740917759.19000006</v>
      </c>
      <c r="N22" s="28">
        <v>740917759.19000006</v>
      </c>
      <c r="O22" s="31" t="s">
        <v>298</v>
      </c>
      <c r="P22" s="31" t="s">
        <v>303</v>
      </c>
      <c r="Q22" s="32" t="s">
        <v>326</v>
      </c>
      <c r="R22" s="31" t="s">
        <v>161</v>
      </c>
      <c r="S22" s="31" t="s">
        <v>327</v>
      </c>
      <c r="T22" s="31" t="s">
        <v>328</v>
      </c>
      <c r="U22" s="19">
        <f t="shared" si="1"/>
        <v>84082240.809999943</v>
      </c>
      <c r="V22" s="20">
        <f t="shared" si="2"/>
        <v>9.8118222356162796</v>
      </c>
    </row>
    <row r="23" spans="1:26" s="21" customFormat="1" ht="54" customHeight="1" x14ac:dyDescent="0.2">
      <c r="A23" s="10">
        <v>9</v>
      </c>
      <c r="B23" s="11"/>
      <c r="C23" s="33"/>
      <c r="D23" s="24" t="s">
        <v>152</v>
      </c>
      <c r="E23" s="22" t="s">
        <v>121</v>
      </c>
      <c r="F23" s="14" t="s">
        <v>26</v>
      </c>
      <c r="G23" s="15">
        <v>808000000</v>
      </c>
      <c r="H23" s="15">
        <v>807967059.55999994</v>
      </c>
      <c r="I23" s="30">
        <v>23</v>
      </c>
      <c r="J23" s="30">
        <v>4</v>
      </c>
      <c r="K23" s="26" t="s">
        <v>162</v>
      </c>
      <c r="L23" s="37" t="s">
        <v>172</v>
      </c>
      <c r="M23" s="28">
        <v>742039937.55999994</v>
      </c>
      <c r="N23" s="28">
        <v>742039937.55999994</v>
      </c>
      <c r="O23" s="31" t="s">
        <v>300</v>
      </c>
      <c r="P23" s="31" t="s">
        <v>304</v>
      </c>
      <c r="Q23" s="32" t="s">
        <v>329</v>
      </c>
      <c r="R23" s="31" t="s">
        <v>330</v>
      </c>
      <c r="S23" s="31" t="s">
        <v>331</v>
      </c>
      <c r="T23" s="31" t="s">
        <v>332</v>
      </c>
      <c r="U23" s="19">
        <f t="shared" si="1"/>
        <v>65960062.440000057</v>
      </c>
      <c r="V23" s="20">
        <f t="shared" si="2"/>
        <v>12.249836796849451</v>
      </c>
    </row>
    <row r="24" spans="1:26" s="21" customFormat="1" ht="40" customHeight="1" x14ac:dyDescent="0.2">
      <c r="A24" s="10">
        <v>10</v>
      </c>
      <c r="B24" s="11"/>
      <c r="C24" s="33"/>
      <c r="D24" s="38" t="s">
        <v>153</v>
      </c>
      <c r="E24" s="22" t="s">
        <v>121</v>
      </c>
      <c r="F24" s="14" t="s">
        <v>26</v>
      </c>
      <c r="G24" s="15">
        <v>2815000000</v>
      </c>
      <c r="H24" s="15">
        <v>2814999175.6500001</v>
      </c>
      <c r="I24" s="30">
        <v>16</v>
      </c>
      <c r="J24" s="30">
        <v>1</v>
      </c>
      <c r="K24" s="26" t="s">
        <v>163</v>
      </c>
      <c r="L24" s="37" t="s">
        <v>173</v>
      </c>
      <c r="M24" s="28">
        <v>2613248224.6999998</v>
      </c>
      <c r="N24" s="28">
        <v>2610025080.48</v>
      </c>
      <c r="O24" s="31" t="s">
        <v>295</v>
      </c>
      <c r="P24" s="31" t="s">
        <v>305</v>
      </c>
      <c r="Q24" s="32" t="s">
        <v>333</v>
      </c>
      <c r="R24" s="31" t="s">
        <v>334</v>
      </c>
      <c r="S24" s="31" t="s">
        <v>335</v>
      </c>
      <c r="T24" s="31" t="s">
        <v>336</v>
      </c>
      <c r="U24" s="19">
        <f t="shared" si="1"/>
        <v>204974919.51999998</v>
      </c>
      <c r="V24" s="20">
        <f t="shared" si="2"/>
        <v>13.733387511955248</v>
      </c>
    </row>
    <row r="25" spans="1:26" s="21" customFormat="1" ht="40" customHeight="1" x14ac:dyDescent="0.2">
      <c r="A25" s="10">
        <v>11</v>
      </c>
      <c r="B25" s="11"/>
      <c r="C25" s="33"/>
      <c r="D25" s="24" t="s">
        <v>154</v>
      </c>
      <c r="E25" s="22" t="s">
        <v>121</v>
      </c>
      <c r="F25" s="14" t="s">
        <v>26</v>
      </c>
      <c r="G25" s="15">
        <v>1075000000</v>
      </c>
      <c r="H25" s="15">
        <v>1074979446.8699999</v>
      </c>
      <c r="I25" s="30">
        <v>28</v>
      </c>
      <c r="J25" s="30">
        <v>8</v>
      </c>
      <c r="K25" s="26" t="s">
        <v>164</v>
      </c>
      <c r="L25" s="37" t="s">
        <v>174</v>
      </c>
      <c r="M25" s="28">
        <v>990147110.90999997</v>
      </c>
      <c r="N25" s="28">
        <v>990147110.90999997</v>
      </c>
      <c r="O25" s="31" t="s">
        <v>298</v>
      </c>
      <c r="P25" s="31" t="s">
        <v>306</v>
      </c>
      <c r="Q25" s="32" t="s">
        <v>337</v>
      </c>
      <c r="R25" s="31" t="s">
        <v>338</v>
      </c>
      <c r="S25" s="31" t="s">
        <v>339</v>
      </c>
      <c r="T25" s="31" t="s">
        <v>325</v>
      </c>
      <c r="U25" s="19">
        <f t="shared" si="1"/>
        <v>84852889.090000033</v>
      </c>
      <c r="V25" s="20">
        <f t="shared" si="2"/>
        <v>12.668985246451548</v>
      </c>
    </row>
    <row r="26" spans="1:26" s="21" customFormat="1" ht="47" customHeight="1" x14ac:dyDescent="0.2">
      <c r="A26" s="10">
        <v>1</v>
      </c>
      <c r="B26" s="11" t="s">
        <v>175</v>
      </c>
      <c r="C26" s="12" t="s">
        <v>113</v>
      </c>
      <c r="D26" s="12" t="s">
        <v>176</v>
      </c>
      <c r="E26" s="25" t="s">
        <v>120</v>
      </c>
      <c r="F26" s="14" t="s">
        <v>28</v>
      </c>
      <c r="G26" s="15">
        <v>3200000000</v>
      </c>
      <c r="H26" s="15">
        <v>3200000000</v>
      </c>
      <c r="I26" s="39">
        <v>43</v>
      </c>
      <c r="J26" s="39">
        <v>8</v>
      </c>
      <c r="K26" s="17" t="s">
        <v>181</v>
      </c>
      <c r="L26" s="26" t="s">
        <v>185</v>
      </c>
      <c r="M26" s="28">
        <v>2798276870.4000001</v>
      </c>
      <c r="N26" s="28">
        <v>2798276870.4000001</v>
      </c>
      <c r="O26" s="39" t="s">
        <v>340</v>
      </c>
      <c r="P26" s="39" t="s">
        <v>341</v>
      </c>
      <c r="Q26" s="40" t="s">
        <v>342</v>
      </c>
      <c r="R26" s="39" t="s">
        <v>343</v>
      </c>
      <c r="S26" s="39" t="s">
        <v>344</v>
      </c>
      <c r="T26" s="39" t="s">
        <v>345</v>
      </c>
      <c r="U26" s="19">
        <f t="shared" si="1"/>
        <v>401723129.5999999</v>
      </c>
      <c r="V26" s="20">
        <f t="shared" si="2"/>
        <v>7.9656852299898064</v>
      </c>
    </row>
    <row r="27" spans="1:26" s="21" customFormat="1" ht="54" customHeight="1" x14ac:dyDescent="0.2">
      <c r="A27" s="10">
        <v>2</v>
      </c>
      <c r="B27" s="11"/>
      <c r="C27" s="12" t="s">
        <v>113</v>
      </c>
      <c r="D27" s="24" t="s">
        <v>177</v>
      </c>
      <c r="E27" s="25" t="s">
        <v>120</v>
      </c>
      <c r="F27" s="14" t="s">
        <v>28</v>
      </c>
      <c r="G27" s="15">
        <v>6353180160</v>
      </c>
      <c r="H27" s="15">
        <v>6353180160</v>
      </c>
      <c r="I27" s="39">
        <v>11</v>
      </c>
      <c r="J27" s="39">
        <v>2</v>
      </c>
      <c r="K27" s="25" t="s">
        <v>182</v>
      </c>
      <c r="L27" s="26" t="s">
        <v>186</v>
      </c>
      <c r="M27" s="41">
        <v>6274972080.6700001</v>
      </c>
      <c r="N27" s="28">
        <v>6271642080.6700001</v>
      </c>
      <c r="O27" s="39" t="s">
        <v>346</v>
      </c>
      <c r="P27" s="39" t="s">
        <v>347</v>
      </c>
      <c r="Q27" s="40" t="s">
        <v>348</v>
      </c>
      <c r="R27" s="39" t="s">
        <v>349</v>
      </c>
      <c r="S27" s="39" t="s">
        <v>350</v>
      </c>
      <c r="T27" s="39" t="s">
        <v>351</v>
      </c>
      <c r="U27" s="19">
        <f t="shared" si="1"/>
        <v>81538079.329999924</v>
      </c>
      <c r="V27" s="20">
        <f t="shared" si="2"/>
        <v>77.91672568454166</v>
      </c>
    </row>
    <row r="28" spans="1:26" s="21" customFormat="1" ht="39" customHeight="1" x14ac:dyDescent="0.2">
      <c r="A28" s="10">
        <v>3</v>
      </c>
      <c r="B28" s="11"/>
      <c r="C28" s="12" t="s">
        <v>113</v>
      </c>
      <c r="D28" s="24" t="s">
        <v>178</v>
      </c>
      <c r="E28" s="25" t="s">
        <v>120</v>
      </c>
      <c r="F28" s="14" t="s">
        <v>28</v>
      </c>
      <c r="G28" s="15">
        <v>500000000</v>
      </c>
      <c r="H28" s="15">
        <v>500000000</v>
      </c>
      <c r="I28" s="39">
        <v>14</v>
      </c>
      <c r="J28" s="39">
        <v>1</v>
      </c>
      <c r="K28" s="25" t="s">
        <v>183</v>
      </c>
      <c r="L28" s="26" t="s">
        <v>187</v>
      </c>
      <c r="M28" s="41">
        <v>497979300</v>
      </c>
      <c r="N28" s="28">
        <v>497979300</v>
      </c>
      <c r="O28" s="39" t="s">
        <v>352</v>
      </c>
      <c r="P28" s="39" t="s">
        <v>353</v>
      </c>
      <c r="Q28" s="40" t="s">
        <v>354</v>
      </c>
      <c r="R28" s="39" t="s">
        <v>355</v>
      </c>
      <c r="S28" s="39" t="s">
        <v>356</v>
      </c>
      <c r="T28" s="39" t="s">
        <v>357</v>
      </c>
      <c r="U28" s="19">
        <f t="shared" si="1"/>
        <v>2020700</v>
      </c>
      <c r="V28" s="20">
        <f t="shared" si="2"/>
        <v>247.43900628495075</v>
      </c>
    </row>
    <row r="29" spans="1:26" s="21" customFormat="1" ht="42" customHeight="1" x14ac:dyDescent="0.2">
      <c r="A29" s="10">
        <v>4</v>
      </c>
      <c r="B29" s="11"/>
      <c r="C29" s="12" t="s">
        <v>128</v>
      </c>
      <c r="D29" s="12" t="s">
        <v>179</v>
      </c>
      <c r="E29" s="25" t="s">
        <v>120</v>
      </c>
      <c r="F29" s="14" t="s">
        <v>28</v>
      </c>
      <c r="G29" s="15">
        <v>414400000</v>
      </c>
      <c r="H29" s="15">
        <v>414400000</v>
      </c>
      <c r="I29" s="39">
        <v>19</v>
      </c>
      <c r="J29" s="39">
        <v>2</v>
      </c>
      <c r="K29" s="25" t="s">
        <v>184</v>
      </c>
      <c r="L29" s="26" t="s">
        <v>188</v>
      </c>
      <c r="M29" s="28">
        <v>406074852</v>
      </c>
      <c r="N29" s="28">
        <v>406074852</v>
      </c>
      <c r="O29" s="39" t="s">
        <v>358</v>
      </c>
      <c r="P29" s="39" t="s">
        <v>359</v>
      </c>
      <c r="Q29" s="40" t="s">
        <v>360</v>
      </c>
      <c r="R29" s="39" t="s">
        <v>234</v>
      </c>
      <c r="S29" s="39" t="s">
        <v>361</v>
      </c>
      <c r="T29" s="39" t="s">
        <v>362</v>
      </c>
      <c r="U29" s="19">
        <f t="shared" si="1"/>
        <v>8325148</v>
      </c>
      <c r="V29" s="20">
        <f t="shared" si="2"/>
        <v>49.776892855238131</v>
      </c>
    </row>
    <row r="30" spans="1:26" s="21" customFormat="1" ht="54.75" customHeight="1" x14ac:dyDescent="0.2">
      <c r="A30" s="10">
        <v>1</v>
      </c>
      <c r="B30" s="11" t="s">
        <v>180</v>
      </c>
      <c r="C30" s="12" t="s">
        <v>14</v>
      </c>
      <c r="D30" s="42" t="s">
        <v>11</v>
      </c>
      <c r="E30" s="14" t="s">
        <v>13</v>
      </c>
      <c r="F30" s="14" t="s">
        <v>28</v>
      </c>
      <c r="G30" s="43">
        <v>341247750</v>
      </c>
      <c r="H30" s="43">
        <v>341247750</v>
      </c>
      <c r="I30" s="44">
        <v>18</v>
      </c>
      <c r="J30" s="45">
        <v>4</v>
      </c>
      <c r="K30" s="14" t="s">
        <v>12</v>
      </c>
      <c r="L30" s="14" t="s">
        <v>110</v>
      </c>
      <c r="M30" s="15">
        <v>330791100</v>
      </c>
      <c r="N30" s="15">
        <v>301446030</v>
      </c>
      <c r="O30" s="17" t="s">
        <v>62</v>
      </c>
      <c r="P30" s="19" t="s">
        <v>56</v>
      </c>
      <c r="Q30" s="46" t="s">
        <v>90</v>
      </c>
      <c r="R30" s="14" t="s">
        <v>50</v>
      </c>
      <c r="S30" s="47" t="s">
        <v>189</v>
      </c>
      <c r="T30" s="14" t="s">
        <v>32</v>
      </c>
      <c r="U30" s="19">
        <f t="shared" ref="U30:U36" si="3">G30-N30</f>
        <v>39801720</v>
      </c>
      <c r="V30" s="20">
        <f t="shared" ref="V30:V36" si="4">G30/U30*100%</f>
        <v>8.573693548922007</v>
      </c>
      <c r="X30" s="48"/>
      <c r="Y30" s="48"/>
    </row>
    <row r="31" spans="1:26" s="21" customFormat="1" ht="45" customHeight="1" x14ac:dyDescent="0.2">
      <c r="A31" s="16">
        <v>2</v>
      </c>
      <c r="B31" s="11"/>
      <c r="C31" s="12" t="s">
        <v>14</v>
      </c>
      <c r="D31" s="49" t="s">
        <v>15</v>
      </c>
      <c r="E31" s="14" t="s">
        <v>16</v>
      </c>
      <c r="F31" s="14" t="s">
        <v>26</v>
      </c>
      <c r="G31" s="43">
        <v>5300385100</v>
      </c>
      <c r="H31" s="43">
        <v>5300385100</v>
      </c>
      <c r="I31" s="44">
        <v>29</v>
      </c>
      <c r="J31" s="14">
        <v>7</v>
      </c>
      <c r="K31" s="14" t="s">
        <v>18</v>
      </c>
      <c r="L31" s="14" t="s">
        <v>103</v>
      </c>
      <c r="M31" s="43">
        <v>4949782189.4700003</v>
      </c>
      <c r="N31" s="43">
        <v>4949782189.4700003</v>
      </c>
      <c r="O31" s="17" t="s">
        <v>63</v>
      </c>
      <c r="P31" s="17" t="s">
        <v>64</v>
      </c>
      <c r="Q31" s="50" t="s">
        <v>91</v>
      </c>
      <c r="R31" s="14" t="s">
        <v>49</v>
      </c>
      <c r="S31" s="47" t="s">
        <v>190</v>
      </c>
      <c r="T31" s="14" t="s">
        <v>34</v>
      </c>
      <c r="U31" s="17">
        <f t="shared" si="3"/>
        <v>350602910.52999973</v>
      </c>
      <c r="V31" s="51">
        <f t="shared" si="4"/>
        <v>15.117915284808985</v>
      </c>
      <c r="Y31" s="48"/>
      <c r="Z31" s="52"/>
    </row>
    <row r="32" spans="1:26" s="21" customFormat="1" ht="47.25" customHeight="1" x14ac:dyDescent="0.2">
      <c r="A32" s="16">
        <v>3</v>
      </c>
      <c r="B32" s="11"/>
      <c r="C32" s="12" t="s">
        <v>27</v>
      </c>
      <c r="D32" s="49" t="s">
        <v>20</v>
      </c>
      <c r="E32" s="14" t="s">
        <v>16</v>
      </c>
      <c r="F32" s="14" t="s">
        <v>26</v>
      </c>
      <c r="G32" s="15">
        <v>700000000</v>
      </c>
      <c r="H32" s="15">
        <v>699978000</v>
      </c>
      <c r="I32" s="25">
        <v>14</v>
      </c>
      <c r="J32" s="14">
        <v>2</v>
      </c>
      <c r="K32" s="46" t="s">
        <v>21</v>
      </c>
      <c r="L32" s="14" t="s">
        <v>106</v>
      </c>
      <c r="M32" s="15">
        <v>677520220.16999996</v>
      </c>
      <c r="N32" s="15">
        <v>677520220.16999996</v>
      </c>
      <c r="O32" s="25" t="s">
        <v>54</v>
      </c>
      <c r="P32" s="25" t="s">
        <v>61</v>
      </c>
      <c r="Q32" s="46" t="s">
        <v>92</v>
      </c>
      <c r="R32" s="14" t="s">
        <v>24</v>
      </c>
      <c r="S32" s="14" t="s">
        <v>33</v>
      </c>
      <c r="T32" s="14" t="s">
        <v>35</v>
      </c>
      <c r="U32" s="19">
        <f t="shared" si="3"/>
        <v>22479779.830000043</v>
      </c>
      <c r="V32" s="20">
        <f t="shared" si="4"/>
        <v>31.139095013102654</v>
      </c>
    </row>
    <row r="33" spans="1:22" s="21" customFormat="1" ht="45.75" customHeight="1" x14ac:dyDescent="0.2">
      <c r="A33" s="16">
        <v>4</v>
      </c>
      <c r="B33" s="11"/>
      <c r="C33" s="12" t="s">
        <v>27</v>
      </c>
      <c r="D33" s="49" t="s">
        <v>36</v>
      </c>
      <c r="E33" s="14" t="s">
        <v>16</v>
      </c>
      <c r="F33" s="14" t="s">
        <v>26</v>
      </c>
      <c r="G33" s="43">
        <v>500000000</v>
      </c>
      <c r="H33" s="43">
        <v>499294000</v>
      </c>
      <c r="I33" s="25">
        <v>6</v>
      </c>
      <c r="J33" s="14">
        <v>1</v>
      </c>
      <c r="K33" s="14" t="s">
        <v>37</v>
      </c>
      <c r="L33" s="14" t="s">
        <v>105</v>
      </c>
      <c r="M33" s="43">
        <v>478570288.81999999</v>
      </c>
      <c r="N33" s="43">
        <v>478570288.81999999</v>
      </c>
      <c r="O33" s="25" t="s">
        <v>54</v>
      </c>
      <c r="P33" s="25" t="s">
        <v>57</v>
      </c>
      <c r="Q33" s="46" t="s">
        <v>93</v>
      </c>
      <c r="R33" s="14" t="s">
        <v>38</v>
      </c>
      <c r="S33" s="47" t="s">
        <v>191</v>
      </c>
      <c r="T33" s="14" t="s">
        <v>35</v>
      </c>
      <c r="U33" s="17">
        <f t="shared" si="3"/>
        <v>21429711.180000007</v>
      </c>
      <c r="V33" s="51">
        <f t="shared" si="4"/>
        <v>23.332092336673284</v>
      </c>
    </row>
    <row r="34" spans="1:22" s="21" customFormat="1" ht="45.75" customHeight="1" x14ac:dyDescent="0.2">
      <c r="A34" s="16">
        <v>5</v>
      </c>
      <c r="B34" s="11"/>
      <c r="C34" s="12" t="s">
        <v>27</v>
      </c>
      <c r="D34" s="49" t="s">
        <v>39</v>
      </c>
      <c r="E34" s="14" t="s">
        <v>16</v>
      </c>
      <c r="F34" s="14" t="s">
        <v>26</v>
      </c>
      <c r="G34" s="43">
        <v>1000000000</v>
      </c>
      <c r="H34" s="43">
        <v>998000000</v>
      </c>
      <c r="I34" s="25">
        <v>20</v>
      </c>
      <c r="J34" s="14">
        <v>3</v>
      </c>
      <c r="K34" s="14" t="s">
        <v>40</v>
      </c>
      <c r="L34" s="14" t="s">
        <v>109</v>
      </c>
      <c r="M34" s="43">
        <v>918008102.05999994</v>
      </c>
      <c r="N34" s="43">
        <v>918008102.07000005</v>
      </c>
      <c r="O34" s="25" t="s">
        <v>54</v>
      </c>
      <c r="P34" s="25" t="s">
        <v>55</v>
      </c>
      <c r="Q34" s="50" t="s">
        <v>94</v>
      </c>
      <c r="R34" s="14" t="s">
        <v>41</v>
      </c>
      <c r="S34" s="47" t="s">
        <v>192</v>
      </c>
      <c r="T34" s="14" t="s">
        <v>35</v>
      </c>
      <c r="U34" s="17">
        <f t="shared" si="3"/>
        <v>81991897.929999948</v>
      </c>
      <c r="V34" s="51">
        <f t="shared" si="4"/>
        <v>12.196327018234699</v>
      </c>
    </row>
    <row r="35" spans="1:22" s="21" customFormat="1" ht="45.75" customHeight="1" x14ac:dyDescent="0.2">
      <c r="A35" s="16">
        <v>6</v>
      </c>
      <c r="B35" s="11"/>
      <c r="C35" s="12" t="s">
        <v>27</v>
      </c>
      <c r="D35" s="49" t="s">
        <v>42</v>
      </c>
      <c r="E35" s="14" t="s">
        <v>16</v>
      </c>
      <c r="F35" s="14" t="s">
        <v>26</v>
      </c>
      <c r="G35" s="43">
        <v>700000000</v>
      </c>
      <c r="H35" s="43">
        <v>699850000</v>
      </c>
      <c r="I35" s="25">
        <v>15</v>
      </c>
      <c r="J35" s="14">
        <v>1</v>
      </c>
      <c r="K35" s="14" t="s">
        <v>43</v>
      </c>
      <c r="L35" s="14" t="s">
        <v>108</v>
      </c>
      <c r="M35" s="43">
        <v>676728730.13</v>
      </c>
      <c r="N35" s="43">
        <v>676728730.14999998</v>
      </c>
      <c r="O35" s="25" t="s">
        <v>54</v>
      </c>
      <c r="P35" s="25" t="s">
        <v>60</v>
      </c>
      <c r="Q35" s="46" t="s">
        <v>95</v>
      </c>
      <c r="R35" s="14" t="s">
        <v>44</v>
      </c>
      <c r="S35" s="47" t="s">
        <v>193</v>
      </c>
      <c r="T35" s="14" t="s">
        <v>98</v>
      </c>
      <c r="U35" s="17">
        <f t="shared" si="3"/>
        <v>23271269.850000024</v>
      </c>
      <c r="V35" s="51">
        <f t="shared" si="4"/>
        <v>30.080008719421009</v>
      </c>
    </row>
    <row r="36" spans="1:22" s="21" customFormat="1" ht="46.5" customHeight="1" x14ac:dyDescent="0.2">
      <c r="A36" s="16">
        <v>7</v>
      </c>
      <c r="B36" s="11"/>
      <c r="C36" s="12" t="s">
        <v>27</v>
      </c>
      <c r="D36" s="49" t="s">
        <v>45</v>
      </c>
      <c r="E36" s="14" t="s">
        <v>16</v>
      </c>
      <c r="F36" s="14" t="s">
        <v>26</v>
      </c>
      <c r="G36" s="43">
        <v>500000000</v>
      </c>
      <c r="H36" s="43">
        <v>499860000</v>
      </c>
      <c r="I36" s="25">
        <v>4</v>
      </c>
      <c r="J36" s="14">
        <v>1</v>
      </c>
      <c r="K36" s="14" t="s">
        <v>46</v>
      </c>
      <c r="L36" s="14" t="s">
        <v>104</v>
      </c>
      <c r="M36" s="43">
        <v>477868743.31</v>
      </c>
      <c r="N36" s="43">
        <v>477868743.31</v>
      </c>
      <c r="O36" s="25" t="s">
        <v>54</v>
      </c>
      <c r="P36" s="25" t="s">
        <v>59</v>
      </c>
      <c r="Q36" s="46" t="s">
        <v>96</v>
      </c>
      <c r="R36" s="14" t="s">
        <v>47</v>
      </c>
      <c r="S36" s="47" t="s">
        <v>194</v>
      </c>
      <c r="T36" s="14" t="s">
        <v>35</v>
      </c>
      <c r="U36" s="17">
        <f t="shared" si="3"/>
        <v>22131256.689999998</v>
      </c>
      <c r="V36" s="51">
        <f t="shared" si="4"/>
        <v>22.592481168316343</v>
      </c>
    </row>
    <row r="37" spans="1:22" s="21" customFormat="1" ht="46.5" customHeight="1" x14ac:dyDescent="0.2">
      <c r="A37" s="16">
        <v>8</v>
      </c>
      <c r="B37" s="11"/>
      <c r="C37" s="12" t="s">
        <v>27</v>
      </c>
      <c r="D37" s="49" t="s">
        <v>51</v>
      </c>
      <c r="E37" s="14" t="s">
        <v>16</v>
      </c>
      <c r="F37" s="14" t="s">
        <v>26</v>
      </c>
      <c r="G37" s="43">
        <v>1400000000</v>
      </c>
      <c r="H37" s="43">
        <v>1394301830.4000001</v>
      </c>
      <c r="I37" s="25">
        <v>12</v>
      </c>
      <c r="J37" s="14">
        <v>1</v>
      </c>
      <c r="K37" s="14" t="s">
        <v>52</v>
      </c>
      <c r="L37" s="14" t="s">
        <v>107</v>
      </c>
      <c r="M37" s="43">
        <v>1360539180.97</v>
      </c>
      <c r="N37" s="43">
        <v>1360539180.98</v>
      </c>
      <c r="O37" s="25" t="s">
        <v>54</v>
      </c>
      <c r="P37" s="25" t="s">
        <v>58</v>
      </c>
      <c r="Q37" s="50" t="s">
        <v>97</v>
      </c>
      <c r="R37" s="14" t="s">
        <v>53</v>
      </c>
      <c r="S37" s="47" t="s">
        <v>195</v>
      </c>
      <c r="T37" s="14" t="s">
        <v>35</v>
      </c>
      <c r="U37" s="17">
        <f>G37-N37</f>
        <v>39460819.019999981</v>
      </c>
      <c r="V37" s="51">
        <f t="shared" ref="V37" si="5">G37/U37*100%</f>
        <v>35.478229665999486</v>
      </c>
    </row>
    <row r="38" spans="1:22" s="21" customFormat="1" ht="46.5" customHeight="1" x14ac:dyDescent="0.2">
      <c r="A38" s="16">
        <v>9</v>
      </c>
      <c r="B38" s="11"/>
      <c r="C38" s="12" t="s">
        <v>27</v>
      </c>
      <c r="D38" s="49" t="s">
        <v>65</v>
      </c>
      <c r="E38" s="14" t="s">
        <v>16</v>
      </c>
      <c r="F38" s="14" t="s">
        <v>26</v>
      </c>
      <c r="G38" s="15">
        <v>510000000</v>
      </c>
      <c r="H38" s="15">
        <v>510000000</v>
      </c>
      <c r="I38" s="25">
        <v>24</v>
      </c>
      <c r="J38" s="14">
        <v>5</v>
      </c>
      <c r="K38" s="14" t="s">
        <v>66</v>
      </c>
      <c r="L38" s="14" t="s">
        <v>100</v>
      </c>
      <c r="M38" s="15">
        <v>455888126.94</v>
      </c>
      <c r="N38" s="15">
        <v>455888126.94</v>
      </c>
      <c r="O38" s="14" t="s">
        <v>72</v>
      </c>
      <c r="P38" s="14" t="s">
        <v>78</v>
      </c>
      <c r="Q38" s="46" t="s">
        <v>77</v>
      </c>
      <c r="R38" s="14" t="s">
        <v>75</v>
      </c>
      <c r="S38" s="14" t="s">
        <v>76</v>
      </c>
      <c r="T38" s="14" t="s">
        <v>67</v>
      </c>
      <c r="U38" s="17">
        <f>G38-N38</f>
        <v>54111873.060000002</v>
      </c>
      <c r="V38" s="51">
        <f t="shared" ref="V38" si="6">G38/U38*100%</f>
        <v>9.4249186206233304</v>
      </c>
    </row>
    <row r="39" spans="1:22" s="21" customFormat="1" ht="46.5" customHeight="1" x14ac:dyDescent="0.2">
      <c r="A39" s="16">
        <v>10</v>
      </c>
      <c r="B39" s="11"/>
      <c r="C39" s="12" t="s">
        <v>27</v>
      </c>
      <c r="D39" s="49" t="s">
        <v>68</v>
      </c>
      <c r="E39" s="14" t="s">
        <v>16</v>
      </c>
      <c r="F39" s="14" t="s">
        <v>26</v>
      </c>
      <c r="G39" s="43">
        <v>360000000</v>
      </c>
      <c r="H39" s="43">
        <v>360000000</v>
      </c>
      <c r="I39" s="25">
        <v>19</v>
      </c>
      <c r="J39" s="14">
        <v>4</v>
      </c>
      <c r="K39" s="14" t="s">
        <v>69</v>
      </c>
      <c r="L39" s="14" t="s">
        <v>101</v>
      </c>
      <c r="M39" s="43">
        <v>320056636.11000001</v>
      </c>
      <c r="N39" s="43">
        <v>320056636.11000001</v>
      </c>
      <c r="O39" s="14" t="s">
        <v>72</v>
      </c>
      <c r="P39" s="14" t="s">
        <v>71</v>
      </c>
      <c r="Q39" s="46" t="s">
        <v>70</v>
      </c>
      <c r="R39" s="14" t="s">
        <v>73</v>
      </c>
      <c r="S39" s="14" t="s">
        <v>74</v>
      </c>
      <c r="T39" s="14" t="s">
        <v>89</v>
      </c>
      <c r="U39" s="17">
        <f>G39-N39</f>
        <v>39943363.889999986</v>
      </c>
      <c r="V39" s="51">
        <f t="shared" ref="V39:V40" si="7">G39/U39*100%</f>
        <v>9.0127611933587737</v>
      </c>
    </row>
    <row r="40" spans="1:22" s="21" customFormat="1" ht="41.25" customHeight="1" x14ac:dyDescent="0.2">
      <c r="A40" s="16">
        <v>11</v>
      </c>
      <c r="B40" s="11"/>
      <c r="C40" s="12" t="s">
        <v>27</v>
      </c>
      <c r="D40" s="53" t="s">
        <v>85</v>
      </c>
      <c r="E40" s="14" t="s">
        <v>86</v>
      </c>
      <c r="F40" s="14" t="s">
        <v>87</v>
      </c>
      <c r="G40" s="43">
        <v>340000000</v>
      </c>
      <c r="H40" s="43">
        <v>340000000</v>
      </c>
      <c r="I40" s="25">
        <v>1</v>
      </c>
      <c r="J40" s="14">
        <v>1</v>
      </c>
      <c r="K40" s="14" t="s">
        <v>84</v>
      </c>
      <c r="L40" s="14" t="s">
        <v>102</v>
      </c>
      <c r="M40" s="43">
        <v>338375000</v>
      </c>
      <c r="N40" s="43">
        <v>338375000</v>
      </c>
      <c r="O40" s="14" t="s">
        <v>83</v>
      </c>
      <c r="P40" s="25" t="s">
        <v>82</v>
      </c>
      <c r="Q40" s="54" t="s">
        <v>80</v>
      </c>
      <c r="R40" s="14" t="s">
        <v>81</v>
      </c>
      <c r="S40" s="14" t="s">
        <v>79</v>
      </c>
      <c r="T40" s="14" t="s">
        <v>88</v>
      </c>
      <c r="U40" s="17">
        <f>G40-N40</f>
        <v>1625000</v>
      </c>
      <c r="V40" s="51">
        <f t="shared" si="7"/>
        <v>209.23076923076923</v>
      </c>
    </row>
    <row r="41" spans="1:22" s="21" customFormat="1" ht="41.25" customHeight="1" x14ac:dyDescent="0.2">
      <c r="A41" s="16">
        <v>1</v>
      </c>
      <c r="B41" s="55" t="s">
        <v>196</v>
      </c>
      <c r="C41" s="25" t="s">
        <v>113</v>
      </c>
      <c r="D41" s="12" t="s">
        <v>197</v>
      </c>
      <c r="E41" s="25" t="s">
        <v>120</v>
      </c>
      <c r="F41" s="14" t="s">
        <v>28</v>
      </c>
      <c r="G41" s="15">
        <v>1494270000</v>
      </c>
      <c r="H41" s="15">
        <v>1494270000</v>
      </c>
      <c r="I41" s="25">
        <v>23</v>
      </c>
      <c r="J41" s="14">
        <v>3</v>
      </c>
      <c r="K41" s="17" t="s">
        <v>202</v>
      </c>
      <c r="L41" s="14" t="s">
        <v>404</v>
      </c>
      <c r="M41" s="28">
        <v>1419302610</v>
      </c>
      <c r="N41" s="28">
        <v>1419302610</v>
      </c>
      <c r="O41" s="14" t="s">
        <v>405</v>
      </c>
      <c r="P41" s="25" t="s">
        <v>406</v>
      </c>
      <c r="Q41" s="56" t="s">
        <v>407</v>
      </c>
      <c r="R41" s="14" t="s">
        <v>408</v>
      </c>
      <c r="S41" s="14" t="s">
        <v>409</v>
      </c>
      <c r="T41" s="14" t="s">
        <v>410</v>
      </c>
      <c r="U41" s="17">
        <f t="shared" ref="U41:U44" si="8">G41-N41</f>
        <v>74967390</v>
      </c>
      <c r="V41" s="51">
        <f t="shared" ref="V41:V44" si="9">G41/U41*100%</f>
        <v>19.932266549495722</v>
      </c>
    </row>
    <row r="42" spans="1:22" s="21" customFormat="1" ht="41.25" customHeight="1" x14ac:dyDescent="0.2">
      <c r="A42" s="16">
        <v>2</v>
      </c>
      <c r="B42" s="55"/>
      <c r="C42" s="25" t="s">
        <v>128</v>
      </c>
      <c r="D42" s="12" t="s">
        <v>198</v>
      </c>
      <c r="E42" s="25" t="s">
        <v>201</v>
      </c>
      <c r="F42" s="14"/>
      <c r="G42" s="15">
        <v>3300000000</v>
      </c>
      <c r="H42" s="15">
        <v>3300000000</v>
      </c>
      <c r="I42" s="25">
        <v>9</v>
      </c>
      <c r="J42" s="14">
        <v>3</v>
      </c>
      <c r="K42" s="17" t="s">
        <v>203</v>
      </c>
      <c r="L42" s="14" t="s">
        <v>411</v>
      </c>
      <c r="M42" s="28">
        <v>2999000000</v>
      </c>
      <c r="N42" s="28">
        <v>2999000000</v>
      </c>
      <c r="O42" s="14" t="s">
        <v>412</v>
      </c>
      <c r="P42" s="25" t="s">
        <v>413</v>
      </c>
      <c r="Q42" s="56" t="s">
        <v>414</v>
      </c>
      <c r="R42" s="14" t="s">
        <v>415</v>
      </c>
      <c r="S42" s="14" t="s">
        <v>416</v>
      </c>
      <c r="T42" s="14" t="s">
        <v>281</v>
      </c>
      <c r="U42" s="17">
        <f t="shared" si="8"/>
        <v>301000000</v>
      </c>
      <c r="V42" s="51">
        <f t="shared" si="9"/>
        <v>10.963455149501661</v>
      </c>
    </row>
    <row r="43" spans="1:22" s="21" customFormat="1" ht="41.25" customHeight="1" x14ac:dyDescent="0.2">
      <c r="A43" s="16">
        <v>3</v>
      </c>
      <c r="B43" s="55"/>
      <c r="C43" s="25" t="s">
        <v>128</v>
      </c>
      <c r="D43" s="12" t="s">
        <v>199</v>
      </c>
      <c r="E43" s="25" t="s">
        <v>120</v>
      </c>
      <c r="F43" s="14" t="s">
        <v>28</v>
      </c>
      <c r="G43" s="15">
        <v>1066000000</v>
      </c>
      <c r="H43" s="15">
        <v>753600000</v>
      </c>
      <c r="I43" s="25">
        <v>20</v>
      </c>
      <c r="J43" s="14">
        <v>5</v>
      </c>
      <c r="K43" s="17" t="s">
        <v>136</v>
      </c>
      <c r="L43" s="14" t="s">
        <v>417</v>
      </c>
      <c r="M43" s="28">
        <v>719504220</v>
      </c>
      <c r="N43" s="28">
        <v>719504220</v>
      </c>
      <c r="O43" s="14" t="s">
        <v>241</v>
      </c>
      <c r="P43" s="25" t="s">
        <v>418</v>
      </c>
      <c r="Q43" s="54" t="s">
        <v>419</v>
      </c>
      <c r="R43" s="14" t="s">
        <v>420</v>
      </c>
      <c r="S43" s="14" t="s">
        <v>421</v>
      </c>
      <c r="T43" s="14" t="s">
        <v>281</v>
      </c>
      <c r="U43" s="17">
        <f t="shared" si="8"/>
        <v>346495780</v>
      </c>
      <c r="V43" s="51">
        <f t="shared" si="9"/>
        <v>3.0765165451654273</v>
      </c>
    </row>
    <row r="44" spans="1:22" s="21" customFormat="1" ht="41.25" customHeight="1" x14ac:dyDescent="0.2">
      <c r="A44" s="16">
        <v>4</v>
      </c>
      <c r="B44" s="55"/>
      <c r="C44" s="25" t="s">
        <v>113</v>
      </c>
      <c r="D44" s="12" t="s">
        <v>200</v>
      </c>
      <c r="E44" s="25" t="s">
        <v>120</v>
      </c>
      <c r="F44" s="14" t="s">
        <v>28</v>
      </c>
      <c r="G44" s="15">
        <v>297180000</v>
      </c>
      <c r="H44" s="15">
        <v>297180000</v>
      </c>
      <c r="I44" s="25">
        <v>14</v>
      </c>
      <c r="J44" s="14">
        <v>1</v>
      </c>
      <c r="K44" s="17" t="s">
        <v>183</v>
      </c>
      <c r="L44" s="14" t="s">
        <v>422</v>
      </c>
      <c r="M44" s="28">
        <v>291099500</v>
      </c>
      <c r="N44" s="28">
        <v>291099500</v>
      </c>
      <c r="O44" s="14" t="s">
        <v>423</v>
      </c>
      <c r="P44" s="25" t="s">
        <v>424</v>
      </c>
      <c r="Q44" s="56" t="s">
        <v>425</v>
      </c>
      <c r="R44" s="14" t="s">
        <v>355</v>
      </c>
      <c r="S44" s="14" t="s">
        <v>426</v>
      </c>
      <c r="T44" s="14" t="s">
        <v>427</v>
      </c>
      <c r="U44" s="17">
        <f t="shared" si="8"/>
        <v>6080500</v>
      </c>
      <c r="V44" s="51">
        <f t="shared" si="9"/>
        <v>48.874270208042098</v>
      </c>
    </row>
    <row r="45" spans="1:22" s="21" customFormat="1" ht="41.25" customHeight="1" x14ac:dyDescent="0.2">
      <c r="A45" s="16">
        <v>1</v>
      </c>
      <c r="B45" s="55" t="s">
        <v>204</v>
      </c>
      <c r="C45" s="12" t="s">
        <v>113</v>
      </c>
      <c r="D45" s="12" t="s">
        <v>207</v>
      </c>
      <c r="E45" s="25" t="s">
        <v>120</v>
      </c>
      <c r="F45" s="14" t="s">
        <v>28</v>
      </c>
      <c r="G45" s="15">
        <v>996780000</v>
      </c>
      <c r="H45" s="15">
        <v>996780000</v>
      </c>
      <c r="I45" s="25"/>
      <c r="J45" s="14"/>
      <c r="K45" s="17" t="s">
        <v>210</v>
      </c>
      <c r="L45" s="14"/>
      <c r="M45" s="28">
        <v>984829740</v>
      </c>
      <c r="N45" s="28">
        <v>984829740</v>
      </c>
      <c r="O45" s="14"/>
      <c r="P45" s="25"/>
      <c r="Q45" s="54"/>
      <c r="R45" s="14"/>
      <c r="S45" s="14"/>
      <c r="T45" s="14"/>
      <c r="U45" s="17">
        <f t="shared" ref="U45:U47" si="10">G45-N45</f>
        <v>11950260</v>
      </c>
      <c r="V45" s="51">
        <f t="shared" ref="V45:V47" si="11">G45/U45*100%</f>
        <v>83.41073750696637</v>
      </c>
    </row>
    <row r="46" spans="1:22" s="21" customFormat="1" ht="41.25" customHeight="1" x14ac:dyDescent="0.2">
      <c r="A46" s="16">
        <v>2</v>
      </c>
      <c r="B46" s="55"/>
      <c r="C46" s="57" t="s">
        <v>205</v>
      </c>
      <c r="D46" s="24" t="s">
        <v>208</v>
      </c>
      <c r="E46" s="25" t="s">
        <v>121</v>
      </c>
      <c r="F46" s="14"/>
      <c r="G46" s="15">
        <v>2500000000</v>
      </c>
      <c r="H46" s="15">
        <v>1957125961.51</v>
      </c>
      <c r="I46" s="25"/>
      <c r="J46" s="14"/>
      <c r="K46" s="22" t="s">
        <v>66</v>
      </c>
      <c r="L46" s="26" t="s">
        <v>212</v>
      </c>
      <c r="M46" s="15">
        <v>1900629593.5</v>
      </c>
      <c r="N46" s="28">
        <v>1900074000</v>
      </c>
      <c r="O46" s="14"/>
      <c r="P46" s="25"/>
      <c r="Q46" s="54"/>
      <c r="R46" s="14"/>
      <c r="S46" s="14"/>
      <c r="T46" s="14"/>
      <c r="U46" s="17">
        <f t="shared" si="10"/>
        <v>599926000</v>
      </c>
      <c r="V46" s="51">
        <f t="shared" si="11"/>
        <v>4.1671806189430027</v>
      </c>
    </row>
    <row r="47" spans="1:22" s="21" customFormat="1" ht="41.25" customHeight="1" x14ac:dyDescent="0.2">
      <c r="A47" s="16">
        <v>3</v>
      </c>
      <c r="B47" s="55"/>
      <c r="C47" s="12" t="s">
        <v>206</v>
      </c>
      <c r="D47" s="12" t="s">
        <v>209</v>
      </c>
      <c r="E47" s="25" t="s">
        <v>120</v>
      </c>
      <c r="F47" s="14" t="s">
        <v>28</v>
      </c>
      <c r="G47" s="15">
        <v>500000000</v>
      </c>
      <c r="H47" s="15">
        <v>500000000</v>
      </c>
      <c r="I47" s="25"/>
      <c r="J47" s="14"/>
      <c r="K47" s="25" t="s">
        <v>211</v>
      </c>
      <c r="L47" s="14"/>
      <c r="M47" s="28">
        <v>497504886</v>
      </c>
      <c r="N47" s="28">
        <v>497504886</v>
      </c>
      <c r="O47" s="14"/>
      <c r="P47" s="25"/>
      <c r="Q47" s="54"/>
      <c r="R47" s="14"/>
      <c r="S47" s="14"/>
      <c r="T47" s="14"/>
      <c r="U47" s="17">
        <f t="shared" si="10"/>
        <v>2495114</v>
      </c>
      <c r="V47" s="51">
        <f t="shared" si="11"/>
        <v>200.39164543183196</v>
      </c>
    </row>
    <row r="48" spans="1:22" s="21" customFormat="1" ht="41.25" customHeight="1" x14ac:dyDescent="0.2">
      <c r="A48" s="16">
        <v>1</v>
      </c>
      <c r="B48" s="55" t="s">
        <v>213</v>
      </c>
      <c r="C48" s="29" t="s">
        <v>113</v>
      </c>
      <c r="D48" s="12" t="s">
        <v>216</v>
      </c>
      <c r="E48" s="25" t="s">
        <v>120</v>
      </c>
      <c r="F48" s="14" t="s">
        <v>28</v>
      </c>
      <c r="G48" s="15">
        <v>495770000</v>
      </c>
      <c r="H48" s="15">
        <v>495770000</v>
      </c>
      <c r="I48" s="30">
        <v>20</v>
      </c>
      <c r="J48" s="30">
        <v>2</v>
      </c>
      <c r="K48" s="26" t="s">
        <v>220</v>
      </c>
      <c r="L48" s="26" t="s">
        <v>223</v>
      </c>
      <c r="M48" s="28">
        <v>481490694</v>
      </c>
      <c r="N48" s="28">
        <v>481063344</v>
      </c>
      <c r="O48" s="58" t="s">
        <v>363</v>
      </c>
      <c r="P48" s="31" t="s">
        <v>364</v>
      </c>
      <c r="Q48" s="32" t="s">
        <v>365</v>
      </c>
      <c r="R48" s="58" t="s">
        <v>366</v>
      </c>
      <c r="S48" s="31" t="s">
        <v>367</v>
      </c>
      <c r="T48" s="31" t="s">
        <v>368</v>
      </c>
      <c r="U48" s="17">
        <f t="shared" ref="U48:U50" si="12">G48-N48</f>
        <v>14706656</v>
      </c>
      <c r="V48" s="51">
        <f t="shared" ref="V48:V50" si="13">G48/U48*100%</f>
        <v>33.710586553462598</v>
      </c>
    </row>
    <row r="49" spans="1:22" s="21" customFormat="1" ht="41.25" customHeight="1" x14ac:dyDescent="0.2">
      <c r="A49" s="16">
        <v>2</v>
      </c>
      <c r="B49" s="55"/>
      <c r="C49" s="29" t="s">
        <v>113</v>
      </c>
      <c r="D49" s="24" t="s">
        <v>217</v>
      </c>
      <c r="E49" s="22" t="s">
        <v>120</v>
      </c>
      <c r="F49" s="14" t="s">
        <v>28</v>
      </c>
      <c r="G49" s="15">
        <v>495770000</v>
      </c>
      <c r="H49" s="15">
        <v>495770000</v>
      </c>
      <c r="I49" s="30">
        <v>23</v>
      </c>
      <c r="J49" s="30">
        <v>2</v>
      </c>
      <c r="K49" s="26" t="s">
        <v>12</v>
      </c>
      <c r="L49" s="26" t="s">
        <v>224</v>
      </c>
      <c r="M49" s="28">
        <v>470422440</v>
      </c>
      <c r="N49" s="28">
        <v>468202440</v>
      </c>
      <c r="O49" s="58" t="s">
        <v>62</v>
      </c>
      <c r="P49" s="31" t="s">
        <v>369</v>
      </c>
      <c r="Q49" s="32" t="s">
        <v>90</v>
      </c>
      <c r="R49" s="58" t="s">
        <v>50</v>
      </c>
      <c r="S49" s="31" t="s">
        <v>370</v>
      </c>
      <c r="T49" s="31" t="s">
        <v>371</v>
      </c>
      <c r="U49" s="17">
        <f t="shared" si="12"/>
        <v>27567560</v>
      </c>
      <c r="V49" s="51">
        <f t="shared" si="13"/>
        <v>17.983818662224731</v>
      </c>
    </row>
    <row r="50" spans="1:22" s="21" customFormat="1" ht="41.25" customHeight="1" x14ac:dyDescent="0.2">
      <c r="A50" s="16">
        <v>3</v>
      </c>
      <c r="B50" s="55"/>
      <c r="C50" s="29" t="s">
        <v>214</v>
      </c>
      <c r="D50" s="24" t="s">
        <v>218</v>
      </c>
      <c r="E50" s="22" t="s">
        <v>121</v>
      </c>
      <c r="F50" s="14"/>
      <c r="G50" s="15">
        <v>500000000</v>
      </c>
      <c r="H50" s="15">
        <v>499996222.20999998</v>
      </c>
      <c r="I50" s="30">
        <v>14</v>
      </c>
      <c r="J50" s="30">
        <v>2</v>
      </c>
      <c r="K50" s="26" t="s">
        <v>221</v>
      </c>
      <c r="L50" s="26" t="s">
        <v>225</v>
      </c>
      <c r="M50" s="28">
        <v>470636212.57999998</v>
      </c>
      <c r="N50" s="28">
        <v>470081212.61000001</v>
      </c>
      <c r="O50" s="31" t="s">
        <v>372</v>
      </c>
      <c r="P50" s="31" t="s">
        <v>373</v>
      </c>
      <c r="Q50" s="32" t="s">
        <v>374</v>
      </c>
      <c r="R50" s="58" t="s">
        <v>375</v>
      </c>
      <c r="S50" s="31" t="s">
        <v>376</v>
      </c>
      <c r="T50" s="31" t="s">
        <v>377</v>
      </c>
      <c r="U50" s="17">
        <f t="shared" si="12"/>
        <v>29918787.389999986</v>
      </c>
      <c r="V50" s="51">
        <f t="shared" si="13"/>
        <v>16.711907253537934</v>
      </c>
    </row>
    <row r="51" spans="1:22" s="21" customFormat="1" ht="41.25" customHeight="1" x14ac:dyDescent="0.2">
      <c r="A51" s="16">
        <v>4</v>
      </c>
      <c r="B51" s="55"/>
      <c r="C51" s="29" t="s">
        <v>215</v>
      </c>
      <c r="D51" s="24" t="s">
        <v>219</v>
      </c>
      <c r="E51" s="22" t="s">
        <v>121</v>
      </c>
      <c r="F51" s="14"/>
      <c r="G51" s="15">
        <v>516000000</v>
      </c>
      <c r="H51" s="15">
        <v>516000000</v>
      </c>
      <c r="I51" s="30">
        <v>9</v>
      </c>
      <c r="J51" s="30">
        <v>1</v>
      </c>
      <c r="K51" s="19" t="s">
        <v>222</v>
      </c>
      <c r="L51" s="59" t="s">
        <v>226</v>
      </c>
      <c r="M51" s="28">
        <v>497355252.58999997</v>
      </c>
      <c r="N51" s="28">
        <v>496356252.61000001</v>
      </c>
      <c r="O51" s="31" t="s">
        <v>261</v>
      </c>
      <c r="P51" s="31" t="s">
        <v>378</v>
      </c>
      <c r="Q51" s="32" t="s">
        <v>379</v>
      </c>
      <c r="R51" s="58" t="s">
        <v>380</v>
      </c>
      <c r="S51" s="31" t="s">
        <v>381</v>
      </c>
      <c r="T51" s="31" t="s">
        <v>382</v>
      </c>
      <c r="U51" s="17">
        <f t="shared" ref="U51" si="14">G51-N51</f>
        <v>19643747.389999986</v>
      </c>
      <c r="V51" s="51">
        <f t="shared" ref="V51" si="15">G51/U51*100%</f>
        <v>26.267900403905589</v>
      </c>
    </row>
    <row r="52" spans="1:22" s="21" customFormat="1" ht="41.25" customHeight="1" x14ac:dyDescent="0.2">
      <c r="A52" s="16">
        <v>1</v>
      </c>
      <c r="B52" s="55" t="s">
        <v>227</v>
      </c>
      <c r="C52" s="12" t="s">
        <v>14</v>
      </c>
      <c r="D52" s="49" t="s">
        <v>228</v>
      </c>
      <c r="E52" s="14" t="s">
        <v>13</v>
      </c>
      <c r="F52" s="14" t="s">
        <v>28</v>
      </c>
      <c r="G52" s="15">
        <v>495770000</v>
      </c>
      <c r="H52" s="15">
        <v>495769999.29000002</v>
      </c>
      <c r="I52" s="44">
        <v>24</v>
      </c>
      <c r="J52" s="45">
        <v>2</v>
      </c>
      <c r="K52" s="60" t="s">
        <v>229</v>
      </c>
      <c r="L52" s="44" t="s">
        <v>230</v>
      </c>
      <c r="M52" s="43">
        <v>470975220</v>
      </c>
      <c r="N52" s="43">
        <v>470975220</v>
      </c>
      <c r="O52" s="14" t="s">
        <v>231</v>
      </c>
      <c r="P52" s="14" t="s">
        <v>232</v>
      </c>
      <c r="Q52" s="14" t="s">
        <v>233</v>
      </c>
      <c r="R52" s="14" t="s">
        <v>234</v>
      </c>
      <c r="S52" s="14" t="s">
        <v>235</v>
      </c>
      <c r="T52" s="14" t="s">
        <v>236</v>
      </c>
      <c r="U52" s="19">
        <f>G52-N52</f>
        <v>24794780</v>
      </c>
      <c r="V52" s="20">
        <f>G52/U52*100%</f>
        <v>19.994934417647585</v>
      </c>
    </row>
    <row r="53" spans="1:22" s="21" customFormat="1" ht="41.25" customHeight="1" x14ac:dyDescent="0.2">
      <c r="A53" s="16">
        <v>2</v>
      </c>
      <c r="B53" s="55"/>
      <c r="C53" s="12" t="s">
        <v>237</v>
      </c>
      <c r="D53" s="12" t="s">
        <v>238</v>
      </c>
      <c r="E53" s="14" t="s">
        <v>86</v>
      </c>
      <c r="F53" s="45" t="s">
        <v>26</v>
      </c>
      <c r="G53" s="15">
        <v>30600000000</v>
      </c>
      <c r="H53" s="15">
        <v>30600000000</v>
      </c>
      <c r="I53" s="14">
        <v>1</v>
      </c>
      <c r="J53" s="14">
        <v>1</v>
      </c>
      <c r="K53" s="60" t="s">
        <v>239</v>
      </c>
      <c r="L53" s="14" t="s">
        <v>240</v>
      </c>
      <c r="M53" s="43">
        <v>24868088483.349998</v>
      </c>
      <c r="N53" s="61">
        <v>24840288871.459999</v>
      </c>
      <c r="O53" s="17" t="s">
        <v>241</v>
      </c>
      <c r="P53" s="62" t="s">
        <v>242</v>
      </c>
      <c r="Q53" s="14" t="s">
        <v>243</v>
      </c>
      <c r="R53" s="14" t="s">
        <v>244</v>
      </c>
      <c r="S53" s="14" t="s">
        <v>245</v>
      </c>
      <c r="T53" s="14" t="s">
        <v>246</v>
      </c>
      <c r="U53" s="19">
        <f>G53-N53</f>
        <v>5759711128.5400009</v>
      </c>
      <c r="V53" s="20">
        <f t="shared" ref="V53:V55" si="16">G53/U53*100%</f>
        <v>5.3127664421178418</v>
      </c>
    </row>
    <row r="54" spans="1:22" s="21" customFormat="1" ht="41.25" customHeight="1" x14ac:dyDescent="0.2">
      <c r="A54" s="16">
        <v>3</v>
      </c>
      <c r="B54" s="55"/>
      <c r="C54" s="12" t="s">
        <v>205</v>
      </c>
      <c r="D54" s="49" t="s">
        <v>247</v>
      </c>
      <c r="E54" s="14" t="s">
        <v>16</v>
      </c>
      <c r="F54" s="45" t="s">
        <v>26</v>
      </c>
      <c r="G54" s="15">
        <v>1000000000</v>
      </c>
      <c r="H54" s="15" t="s">
        <v>248</v>
      </c>
      <c r="I54" s="25">
        <v>19</v>
      </c>
      <c r="J54" s="14">
        <v>6</v>
      </c>
      <c r="K54" s="63" t="s">
        <v>249</v>
      </c>
      <c r="L54" s="14" t="s">
        <v>250</v>
      </c>
      <c r="M54" s="43">
        <v>864505873.13999999</v>
      </c>
      <c r="N54" s="61">
        <v>864505873.13999999</v>
      </c>
      <c r="O54" s="25" t="s">
        <v>251</v>
      </c>
      <c r="P54" s="25" t="s">
        <v>252</v>
      </c>
      <c r="Q54" s="14" t="s">
        <v>253</v>
      </c>
      <c r="R54" s="14" t="s">
        <v>254</v>
      </c>
      <c r="S54" s="14" t="s">
        <v>255</v>
      </c>
      <c r="T54" s="14" t="s">
        <v>256</v>
      </c>
      <c r="U54" s="19">
        <f t="shared" ref="U54:U55" si="17">G54-N54</f>
        <v>135494126.86000001</v>
      </c>
      <c r="V54" s="20">
        <f t="shared" si="16"/>
        <v>7.3803936980475546</v>
      </c>
    </row>
    <row r="55" spans="1:22" s="21" customFormat="1" ht="41.25" customHeight="1" x14ac:dyDescent="0.2">
      <c r="A55" s="16">
        <v>4</v>
      </c>
      <c r="B55" s="55"/>
      <c r="C55" s="12" t="s">
        <v>257</v>
      </c>
      <c r="D55" s="24" t="s">
        <v>258</v>
      </c>
      <c r="E55" s="14" t="s">
        <v>16</v>
      </c>
      <c r="F55" s="45" t="s">
        <v>26</v>
      </c>
      <c r="G55" s="15">
        <v>430000000</v>
      </c>
      <c r="H55" s="15">
        <v>430000000</v>
      </c>
      <c r="I55" s="25">
        <v>9</v>
      </c>
      <c r="J55" s="14">
        <v>1</v>
      </c>
      <c r="K55" s="60" t="s">
        <v>259</v>
      </c>
      <c r="L55" s="14" t="s">
        <v>260</v>
      </c>
      <c r="M55" s="15">
        <v>412716027.47000003</v>
      </c>
      <c r="N55" s="28">
        <v>412716027.48000002</v>
      </c>
      <c r="O55" s="45" t="s">
        <v>261</v>
      </c>
      <c r="P55" s="45" t="s">
        <v>262</v>
      </c>
      <c r="Q55" s="14" t="s">
        <v>263</v>
      </c>
      <c r="R55" s="45" t="s">
        <v>264</v>
      </c>
      <c r="S55" s="14" t="s">
        <v>265</v>
      </c>
      <c r="T55" s="14" t="s">
        <v>266</v>
      </c>
      <c r="U55" s="19">
        <f t="shared" si="17"/>
        <v>17283972.519999981</v>
      </c>
      <c r="V55" s="20">
        <f t="shared" si="16"/>
        <v>24.878539901774879</v>
      </c>
    </row>
    <row r="56" spans="1:22" s="21" customFormat="1" ht="41.25" customHeight="1" x14ac:dyDescent="0.2">
      <c r="A56" s="16">
        <v>1</v>
      </c>
      <c r="B56" s="55" t="s">
        <v>267</v>
      </c>
      <c r="C56" s="12" t="s">
        <v>113</v>
      </c>
      <c r="D56" s="64" t="s">
        <v>272</v>
      </c>
      <c r="E56" s="13" t="s">
        <v>120</v>
      </c>
      <c r="F56" s="14" t="s">
        <v>28</v>
      </c>
      <c r="G56" s="15">
        <v>297180000</v>
      </c>
      <c r="H56" s="15">
        <v>297180000</v>
      </c>
      <c r="I56" s="30">
        <v>16</v>
      </c>
      <c r="J56" s="30">
        <v>1</v>
      </c>
      <c r="K56" s="14" t="s">
        <v>273</v>
      </c>
      <c r="L56" s="26" t="s">
        <v>287</v>
      </c>
      <c r="M56" s="15">
        <v>295004700</v>
      </c>
      <c r="N56" s="18">
        <v>294893700</v>
      </c>
      <c r="O56" s="65" t="s">
        <v>383</v>
      </c>
      <c r="P56" s="66" t="s">
        <v>384</v>
      </c>
      <c r="Q56" s="66" t="s">
        <v>385</v>
      </c>
      <c r="R56" s="66" t="s">
        <v>386</v>
      </c>
      <c r="S56" s="67" t="s">
        <v>387</v>
      </c>
      <c r="T56" s="68" t="s">
        <v>388</v>
      </c>
      <c r="U56" s="19">
        <f t="shared" ref="U56:U60" si="18">G56-N56</f>
        <v>2286300</v>
      </c>
      <c r="V56" s="20">
        <f t="shared" ref="V56:V60" si="19">G56/U56*100%</f>
        <v>129.98294187114553</v>
      </c>
    </row>
    <row r="57" spans="1:22" s="21" customFormat="1" ht="41.25" customHeight="1" x14ac:dyDescent="0.2">
      <c r="A57" s="16">
        <v>2</v>
      </c>
      <c r="B57" s="55"/>
      <c r="C57" s="12" t="s">
        <v>113</v>
      </c>
      <c r="D57" s="12" t="s">
        <v>268</v>
      </c>
      <c r="E57" s="13" t="s">
        <v>120</v>
      </c>
      <c r="F57" s="14" t="s">
        <v>28</v>
      </c>
      <c r="G57" s="15">
        <v>147580000</v>
      </c>
      <c r="H57" s="15">
        <v>147580000</v>
      </c>
      <c r="I57" s="30">
        <v>9</v>
      </c>
      <c r="J57" s="30">
        <v>1</v>
      </c>
      <c r="K57" s="25" t="s">
        <v>274</v>
      </c>
      <c r="L57" s="12" t="s">
        <v>288</v>
      </c>
      <c r="M57" s="15">
        <v>146298000</v>
      </c>
      <c r="N57" s="15">
        <v>146187000</v>
      </c>
      <c r="O57" s="66" t="s">
        <v>383</v>
      </c>
      <c r="P57" s="69" t="s">
        <v>389</v>
      </c>
      <c r="Q57" s="70" t="s">
        <v>390</v>
      </c>
      <c r="R57" s="66" t="s">
        <v>391</v>
      </c>
      <c r="S57" s="71" t="s">
        <v>392</v>
      </c>
      <c r="T57" s="68" t="s">
        <v>393</v>
      </c>
      <c r="U57" s="19">
        <f t="shared" si="18"/>
        <v>1393000</v>
      </c>
      <c r="V57" s="20">
        <f t="shared" si="19"/>
        <v>105.94400574300072</v>
      </c>
    </row>
    <row r="58" spans="1:22" s="21" customFormat="1" ht="41.25" customHeight="1" x14ac:dyDescent="0.2">
      <c r="A58" s="16">
        <v>3</v>
      </c>
      <c r="B58" s="55"/>
      <c r="C58" s="25" t="s">
        <v>257</v>
      </c>
      <c r="D58" s="12" t="s">
        <v>269</v>
      </c>
      <c r="E58" s="22" t="s">
        <v>121</v>
      </c>
      <c r="F58" s="14"/>
      <c r="G58" s="15">
        <v>387000000</v>
      </c>
      <c r="H58" s="15">
        <v>387000000</v>
      </c>
      <c r="I58" s="30">
        <v>6</v>
      </c>
      <c r="J58" s="30">
        <v>1</v>
      </c>
      <c r="K58" s="25" t="s">
        <v>275</v>
      </c>
      <c r="L58" s="12" t="s">
        <v>289</v>
      </c>
      <c r="M58" s="15">
        <v>382389195.88999999</v>
      </c>
      <c r="N58" s="15">
        <v>382333695.88999999</v>
      </c>
      <c r="O58" s="66" t="s">
        <v>261</v>
      </c>
      <c r="P58" s="66" t="s">
        <v>394</v>
      </c>
      <c r="Q58" s="66" t="s">
        <v>395</v>
      </c>
      <c r="R58" s="66" t="s">
        <v>396</v>
      </c>
      <c r="S58" s="67" t="s">
        <v>397</v>
      </c>
      <c r="T58" s="68" t="s">
        <v>398</v>
      </c>
      <c r="U58" s="19">
        <f t="shared" si="18"/>
        <v>4666304.1100000143</v>
      </c>
      <c r="V58" s="20">
        <f t="shared" si="19"/>
        <v>82.935014709103214</v>
      </c>
    </row>
    <row r="59" spans="1:22" s="21" customFormat="1" ht="41.25" customHeight="1" x14ac:dyDescent="0.2">
      <c r="A59" s="16">
        <v>4</v>
      </c>
      <c r="B59" s="55"/>
      <c r="C59" s="12" t="s">
        <v>257</v>
      </c>
      <c r="D59" s="12" t="s">
        <v>270</v>
      </c>
      <c r="E59" s="22" t="s">
        <v>121</v>
      </c>
      <c r="F59" s="14"/>
      <c r="G59" s="15">
        <v>344000000</v>
      </c>
      <c r="H59" s="15">
        <v>344000000</v>
      </c>
      <c r="I59" s="30">
        <v>6</v>
      </c>
      <c r="J59" s="30">
        <v>1</v>
      </c>
      <c r="K59" s="25" t="s">
        <v>276</v>
      </c>
      <c r="L59" s="12" t="s">
        <v>290</v>
      </c>
      <c r="M59" s="15">
        <v>339634570.81</v>
      </c>
      <c r="N59" s="15">
        <v>339523570.81999999</v>
      </c>
      <c r="O59" s="65" t="s">
        <v>261</v>
      </c>
      <c r="P59" s="69" t="s">
        <v>399</v>
      </c>
      <c r="Q59" s="72" t="s">
        <v>400</v>
      </c>
      <c r="R59" s="73" t="s">
        <v>401</v>
      </c>
      <c r="S59" s="74" t="s">
        <v>402</v>
      </c>
      <c r="T59" s="75" t="s">
        <v>403</v>
      </c>
      <c r="U59" s="19">
        <f t="shared" si="18"/>
        <v>4476429.1800000072</v>
      </c>
      <c r="V59" s="20">
        <f t="shared" si="19"/>
        <v>76.846965777307233</v>
      </c>
    </row>
    <row r="60" spans="1:22" s="21" customFormat="1" ht="41.25" customHeight="1" x14ac:dyDescent="0.2">
      <c r="A60" s="16">
        <v>5</v>
      </c>
      <c r="B60" s="55"/>
      <c r="C60" s="24" t="s">
        <v>205</v>
      </c>
      <c r="D60" s="12" t="s">
        <v>271</v>
      </c>
      <c r="E60" s="22" t="s">
        <v>121</v>
      </c>
      <c r="F60" s="14"/>
      <c r="G60" s="15">
        <v>2000000000</v>
      </c>
      <c r="H60" s="15">
        <v>1999720500</v>
      </c>
      <c r="I60" s="25"/>
      <c r="J60" s="14"/>
      <c r="K60" s="25" t="s">
        <v>277</v>
      </c>
      <c r="L60" s="12" t="s">
        <v>291</v>
      </c>
      <c r="M60" s="15">
        <v>1898177700</v>
      </c>
      <c r="N60" s="15">
        <v>1898177700</v>
      </c>
      <c r="O60" s="14"/>
      <c r="P60" s="25"/>
      <c r="Q60" s="54"/>
      <c r="R60" s="14"/>
      <c r="S60" s="14"/>
      <c r="T60" s="14"/>
      <c r="U60" s="19">
        <f t="shared" si="18"/>
        <v>101822300</v>
      </c>
      <c r="V60" s="20">
        <f t="shared" si="19"/>
        <v>19.642062691571493</v>
      </c>
    </row>
    <row r="61" spans="1:22" s="21" customFormat="1" ht="80" customHeight="1" x14ac:dyDescent="0.2">
      <c r="A61" s="16">
        <v>1</v>
      </c>
      <c r="B61" s="16" t="s">
        <v>278</v>
      </c>
      <c r="C61" s="12" t="s">
        <v>279</v>
      </c>
      <c r="D61" s="76" t="s">
        <v>280</v>
      </c>
      <c r="E61" s="77" t="s">
        <v>13</v>
      </c>
      <c r="F61" s="77" t="s">
        <v>16</v>
      </c>
      <c r="G61" s="78">
        <v>651000000</v>
      </c>
      <c r="H61" s="77" t="s">
        <v>428</v>
      </c>
      <c r="I61" s="78">
        <v>11</v>
      </c>
      <c r="J61" s="77">
        <v>2</v>
      </c>
      <c r="K61" s="77" t="s">
        <v>429</v>
      </c>
      <c r="L61" s="79" t="s">
        <v>430</v>
      </c>
      <c r="M61" s="78">
        <v>611243922</v>
      </c>
      <c r="N61" s="78">
        <v>611243922</v>
      </c>
      <c r="O61" s="77" t="s">
        <v>431</v>
      </c>
      <c r="P61" s="77" t="s">
        <v>432</v>
      </c>
      <c r="Q61" s="77" t="s">
        <v>433</v>
      </c>
      <c r="R61" s="77" t="s">
        <v>434</v>
      </c>
      <c r="S61" s="80" t="s">
        <v>435</v>
      </c>
      <c r="T61" s="81" t="s">
        <v>281</v>
      </c>
      <c r="U61" s="19">
        <f t="shared" ref="U61" si="20">G61-N61</f>
        <v>39756078</v>
      </c>
      <c r="V61" s="20">
        <f t="shared" ref="V61" si="21">G61/U61*100%</f>
        <v>16.374854682597213</v>
      </c>
    </row>
    <row r="62" spans="1:22" s="21" customFormat="1" ht="64" customHeight="1" x14ac:dyDescent="0.2">
      <c r="A62" s="16">
        <v>1</v>
      </c>
      <c r="B62" s="82" t="s">
        <v>282</v>
      </c>
      <c r="C62" s="29" t="s">
        <v>113</v>
      </c>
      <c r="D62" s="12" t="s">
        <v>283</v>
      </c>
      <c r="E62" s="25" t="s">
        <v>120</v>
      </c>
      <c r="F62" s="14" t="s">
        <v>28</v>
      </c>
      <c r="G62" s="15">
        <v>197580000</v>
      </c>
      <c r="H62" s="15">
        <v>197580000</v>
      </c>
      <c r="I62" s="25"/>
      <c r="J62" s="14"/>
      <c r="K62" s="14"/>
      <c r="L62" s="14"/>
      <c r="M62" s="44">
        <v>0</v>
      </c>
      <c r="N62" s="44">
        <v>0</v>
      </c>
      <c r="O62" s="14"/>
      <c r="P62" s="25"/>
      <c r="Q62" s="54"/>
      <c r="R62" s="14"/>
      <c r="S62" s="14"/>
      <c r="T62" s="14"/>
      <c r="U62" s="19">
        <f>O62-S62</f>
        <v>0</v>
      </c>
      <c r="V62" s="83" t="e">
        <f>O62/U62*100%</f>
        <v>#DIV/0!</v>
      </c>
    </row>
    <row r="63" spans="1:22" s="21" customFormat="1" ht="17" customHeight="1" x14ac:dyDescent="0.2">
      <c r="A63" s="84"/>
      <c r="B63" s="85"/>
      <c r="C63" s="86"/>
      <c r="D63" s="87"/>
      <c r="E63" s="88"/>
      <c r="F63" s="88"/>
      <c r="G63" s="43"/>
      <c r="H63" s="43"/>
      <c r="I63" s="25"/>
      <c r="J63" s="14"/>
      <c r="K63" s="14"/>
      <c r="L63" s="14"/>
      <c r="M63" s="44"/>
      <c r="N63" s="44"/>
      <c r="O63" s="14"/>
      <c r="P63" s="25"/>
      <c r="Q63" s="54"/>
      <c r="R63" s="14"/>
      <c r="S63" s="14"/>
      <c r="T63" s="14"/>
      <c r="U63" s="17"/>
      <c r="V63" s="51"/>
    </row>
    <row r="64" spans="1:22" s="21" customFormat="1" ht="22.5" customHeight="1" x14ac:dyDescent="0.2">
      <c r="A64" s="89"/>
      <c r="B64" s="90"/>
      <c r="C64" s="90"/>
      <c r="D64" s="90"/>
      <c r="E64" s="91"/>
      <c r="F64" s="92"/>
      <c r="G64" s="93">
        <f>SUM(G6:G63)</f>
        <v>154110164210</v>
      </c>
      <c r="H64" s="93">
        <f>SUM(H6:H63)</f>
        <v>151555799704.48996</v>
      </c>
      <c r="I64" s="94"/>
      <c r="J64" s="94"/>
      <c r="K64" s="95"/>
      <c r="L64" s="94"/>
      <c r="M64" s="93">
        <f>SUM(M6:M62)</f>
        <v>138279606090.54999</v>
      </c>
      <c r="N64" s="93">
        <f>SUM(N6:N63)</f>
        <v>138209368518.08002</v>
      </c>
      <c r="O64" s="94"/>
      <c r="P64" s="94"/>
      <c r="Q64" s="94"/>
      <c r="R64" s="94"/>
      <c r="S64" s="94"/>
      <c r="T64" s="94"/>
      <c r="U64" s="94">
        <f>SUM(U30:U40)</f>
        <v>696849601.97999966</v>
      </c>
      <c r="V64" s="96"/>
    </row>
  </sheetData>
  <mergeCells count="14">
    <mergeCell ref="A64:E64"/>
    <mergeCell ref="A1:V1"/>
    <mergeCell ref="A2:V2"/>
    <mergeCell ref="C8:C10"/>
    <mergeCell ref="B6:B10"/>
    <mergeCell ref="B11:B14"/>
    <mergeCell ref="B15:B25"/>
    <mergeCell ref="B26:B29"/>
    <mergeCell ref="B45:B47"/>
    <mergeCell ref="B48:B51"/>
    <mergeCell ref="B52:B55"/>
    <mergeCell ref="B56:B60"/>
    <mergeCell ref="B30:B40"/>
    <mergeCell ref="B41:B44"/>
  </mergeCells>
  <hyperlinks>
    <hyperlink ref="Q31" r:id="rId1" xr:uid="{3BCFB5D1-FDA1-4BBB-98A7-1D86BA229E60}"/>
    <hyperlink ref="Q34" r:id="rId2" xr:uid="{CAE6D71D-2213-420A-A2E6-97904271C04F}"/>
    <hyperlink ref="Q37" r:id="rId3" xr:uid="{2B264485-3A13-4904-85DE-16A3493CBA9F}"/>
    <hyperlink ref="K54" r:id="rId4" location="administrasi" display="https://lpse.malutprov.go.id/eproc4/evaluasi/110829361/detail - administrasi" xr:uid="{6D79F345-840F-3547-9515-499908F05F40}"/>
    <hyperlink ref="K53" r:id="rId5" location="kualifikasi" display="https://lpse.malutprov.go.id/eproc4/evaluasinontender/7265361/detail - kualifikasi" xr:uid="{E30FEFBE-32B0-214D-8D78-06B6DA727852}"/>
    <hyperlink ref="K55" r:id="rId6" location="administrasi" display="https://lpse.malutprov.go.id/eproc4/evaluasi/110958361/detail - administrasi" xr:uid="{753B6267-31B8-1E43-894C-D888C44F82AC}"/>
    <hyperlink ref="K52" r:id="rId7" location="kualifikasi" display="https://lpse.malutprov.go.id/eproc4/evaluasi/110660361/detail - kualifikasi" xr:uid="{5A48B26A-28E6-4447-8E87-2E167211BC5D}"/>
    <hyperlink ref="D56" r:id="rId8" display="https://lpse.malutprov.go.id/eproc4/lelang/14158361/pengumumanlelang" xr:uid="{7304F23C-2998-1641-A0B9-42F41F470346}"/>
    <hyperlink ref="Q15" r:id="rId9" xr:uid="{C5518BDF-89D8-9046-86A2-E2338CEDF0A6}"/>
    <hyperlink ref="Q17" r:id="rId10" xr:uid="{6B47FDCE-E974-3047-A656-36ECCFA4EEE6}"/>
    <hyperlink ref="Q18" r:id="rId11" xr:uid="{24796DAC-B9A0-D34A-B08D-0B2EB98D6DDD}"/>
    <hyperlink ref="Q19" r:id="rId12" xr:uid="{84BB766D-EB1E-6C44-9FBC-21D622F3B7BC}"/>
    <hyperlink ref="Q20" r:id="rId13" xr:uid="{14D1A8D0-F807-5340-97CE-B35CEEE979B0}"/>
    <hyperlink ref="Q21" r:id="rId14" xr:uid="{FC1C43DC-E304-9347-A1EB-FFA10DF74839}"/>
    <hyperlink ref="Q22" r:id="rId15" xr:uid="{BE552345-23F0-E146-BAF3-96D08067A071}"/>
    <hyperlink ref="Q23" r:id="rId16" xr:uid="{62AE69CB-0374-6649-984F-28D22107A080}"/>
    <hyperlink ref="Q24" r:id="rId17" xr:uid="{429A8BE2-AAB6-674A-960D-C01FBB42DFE1}"/>
    <hyperlink ref="Q25" r:id="rId18" xr:uid="{660865A2-700D-DE49-BFE1-5CEEC86EF241}"/>
    <hyperlink ref="Q48" r:id="rId19" xr:uid="{59385913-1FBC-A34F-8752-BF71B36B1408}"/>
    <hyperlink ref="Q49" r:id="rId20" xr:uid="{7B76B851-6628-CF4C-8EFC-4B06761998DD}"/>
    <hyperlink ref="Q50" r:id="rId21" xr:uid="{0F4A8B19-3243-984F-A706-96802BEA22E9}"/>
    <hyperlink ref="Q51" r:id="rId22" xr:uid="{C85A34A5-5BC4-494C-B5BE-2C6BE62B114B}"/>
    <hyperlink ref="Q59" r:id="rId23" xr:uid="{9BC803AB-335B-5147-A5AF-57A22D3D4A57}"/>
    <hyperlink ref="Q41" r:id="rId24" xr:uid="{3B7A9BDE-E904-1F42-8791-64BF08F0640E}"/>
    <hyperlink ref="Q44" r:id="rId25" xr:uid="{DBF4CF57-5ABD-404E-AC53-06A8A1009C04}"/>
    <hyperlink ref="Q42" r:id="rId26" xr:uid="{3439F77C-2303-7549-80F6-A8F21A72EA08}"/>
  </hyperlinks>
  <pageMargins left="0.7" right="0.7" top="0.75" bottom="0.75" header="0.3" footer="0.3"/>
  <pageSetup paperSize="9" scale="25" orientation="landscape" horizontalDpi="360" verticalDpi="360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2024-11-07T05:33:03Z</cp:lastPrinted>
  <dcterms:created xsi:type="dcterms:W3CDTF">2024-05-15T05:14:29Z</dcterms:created>
  <dcterms:modified xsi:type="dcterms:W3CDTF">2025-02-27T23:54:07Z</dcterms:modified>
</cp:coreProperties>
</file>